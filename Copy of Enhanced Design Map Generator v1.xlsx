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me" sheetId="1" r:id="rId5"/>
    <sheet state="visible" name="INPUT" sheetId="2" r:id="rId6"/>
    <sheet state="visible" name="Output" sheetId="3" r:id="rId7"/>
    <sheet state="visible" name="Charts" sheetId="4" r:id="rId8"/>
    <sheet state="hidden" name="LEGEND" sheetId="5" r:id="rId9"/>
    <sheet state="hidden" name="Chart helper" sheetId="6" r:id="rId10"/>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4">
      <text>
        <t xml:space="preserve">Links to the Guide to e-Pedagogy are accessible via iCON account.</t>
      </text>
    </comment>
    <comment authorId="0" ref="C27">
      <text>
        <t xml:space="preserve">Links to the Guide to e-Pedagogy are accessible via iCON account.</t>
      </text>
    </comment>
    <comment authorId="0" ref="H27">
      <text>
        <t xml:space="preserve">Links to the Guide to e-Pedagogy are accessible via iCON account.</t>
      </text>
    </comment>
  </commentList>
</comments>
</file>

<file path=xl/sharedStrings.xml><?xml version="1.0" encoding="utf-8"?>
<sst xmlns="http://schemas.openxmlformats.org/spreadsheetml/2006/main" count="167" uniqueCount="110">
  <si>
    <t>Introduction</t>
  </si>
  <si>
    <r>
      <rPr>
        <rFont val="Calibri, Arial"/>
        <color theme="1"/>
        <sz val="12.0"/>
      </rPr>
      <t xml:space="preserve">The purpose of the Design Map Generator is to help teachers quickly come out with a design map, which can be used to illustrate learning interactions and the flow of learning data. 
This will help to alleviate the need to create the boxes and arrows manually via the design map template on powerpoint. 
Fill in the lesson details in the </t>
    </r>
    <r>
      <rPr>
        <rFont val="Calibri, Arial"/>
        <b/>
        <color theme="1"/>
        <sz val="12.0"/>
      </rPr>
      <t>INPUT</t>
    </r>
    <r>
      <rPr>
        <rFont val="Calibri, Arial"/>
        <color theme="1"/>
        <sz val="12.0"/>
      </rPr>
      <t xml:space="preserve"> tab, the design map will be automatically generated in the </t>
    </r>
    <r>
      <rPr>
        <rFont val="Calibri, Arial"/>
        <b/>
        <color theme="1"/>
        <sz val="12.0"/>
      </rPr>
      <t>OUTPUT</t>
    </r>
    <r>
      <rPr>
        <rFont val="Calibri, Arial"/>
        <color theme="1"/>
        <sz val="12.0"/>
      </rPr>
      <t xml:space="preserve"> tab.</t>
    </r>
  </si>
  <si>
    <r>
      <rPr>
        <rFont val="Calibri, Arial"/>
        <sz val="12.0"/>
      </rPr>
      <t xml:space="preserve">You can also watch a short video at </t>
    </r>
    <r>
      <rPr>
        <rFont val="Calibri, Arial"/>
        <color rgb="FF1155CC"/>
        <sz val="12.0"/>
        <u/>
      </rPr>
      <t>go.gov.sg/dmgbetatutorial</t>
    </r>
    <r>
      <rPr>
        <rFont val="Calibri, Arial"/>
        <sz val="12.0"/>
      </rPr>
      <t xml:space="preserve"> to learn how to use the Design Map Generator. </t>
    </r>
  </si>
  <si>
    <r>
      <rPr>
        <rFont val="Calibri, Arial"/>
        <sz val="12.0"/>
      </rPr>
      <t xml:space="preserve">When teachers use the Design Map Generator, they are applying the actions from the EdTech Pedagogical Scaffold (EdTech PS </t>
    </r>
    <r>
      <rPr>
        <rFont val="Calibri, Arial"/>
        <color rgb="FF1155CC"/>
        <sz val="12.0"/>
        <u/>
      </rPr>
      <t>go.gov.sg/edtechps</t>
    </r>
    <r>
      <rPr>
        <rFont val="Calibri, Arial"/>
        <sz val="12.0"/>
      </rPr>
      <t xml:space="preserve">). The Design Map Generator (beta version on Google Slides) encourages teachers to collaboratively engage in lesson design discussion in their PLTs where they can co-design the lesson and discuss the possible refinements. </t>
    </r>
  </si>
  <si>
    <r>
      <rPr>
        <rFont val="Calibri, Arial"/>
        <sz val="12.0"/>
      </rPr>
      <t xml:space="preserve">If you have any feedback, please share it with us at </t>
    </r>
    <r>
      <rPr>
        <rFont val="Calibri, Arial"/>
        <color rgb="FF1155CC"/>
        <sz val="12.0"/>
        <u/>
      </rPr>
      <t>go.gov.sg/eped-feedback</t>
    </r>
  </si>
  <si>
    <t>V2024-07-25</t>
  </si>
  <si>
    <t>Overview</t>
  </si>
  <si>
    <t>Topic:</t>
  </si>
  <si>
    <t>Level:</t>
  </si>
  <si>
    <t>Student profile:</t>
  </si>
  <si>
    <t>Duration:</t>
  </si>
  <si>
    <t>Prerequisite knowledge:</t>
  </si>
  <si>
    <t>Optional</t>
  </si>
  <si>
    <t>Learning issue to be addressed:</t>
  </si>
  <si>
    <t>Learning Outcomes</t>
  </si>
  <si>
    <t>Success Criteria</t>
  </si>
  <si>
    <t>#</t>
  </si>
  <si>
    <t xml:space="preserve">Subject's Knowledge, Skills, Attitude, Values (KSAV) </t>
  </si>
  <si>
    <t>21st Century Competencies</t>
  </si>
  <si>
    <t>Digital Competencies</t>
  </si>
  <si>
    <t>Note: 
1. Add rows as required</t>
  </si>
  <si>
    <t>At the end of the lesson, students will be able to:
Ref: Syllabus document</t>
  </si>
  <si>
    <r>
      <rPr>
        <rFont val="Calibri"/>
        <sz val="11.0"/>
      </rPr>
      <t xml:space="preserve">At the end of the lesson, students will be able to:
</t>
    </r>
    <r>
      <rPr>
        <rFont val="Calibri"/>
        <color rgb="FF1155CC"/>
        <sz val="11.0"/>
        <u/>
      </rPr>
      <t>Ref: 21CC Benchmarks document</t>
    </r>
  </si>
  <si>
    <r>
      <rPr>
        <rFont val="Calibri"/>
        <sz val="11.0"/>
      </rPr>
      <t xml:space="preserve">I can...
</t>
    </r>
    <r>
      <rPr>
        <rFont val="Calibri"/>
        <color rgb="FF1155CC"/>
        <sz val="11.0"/>
        <u/>
      </rPr>
      <t>Ref: Crafting Success criteria</t>
    </r>
  </si>
  <si>
    <t xml:space="preserve">Learning Experience: </t>
  </si>
  <si>
    <t>Type of Learning Experience</t>
  </si>
  <si>
    <t>Design Map (Auto-Generated in OUTPUT tab)</t>
  </si>
  <si>
    <t>Interaction</t>
  </si>
  <si>
    <t xml:space="preserve">Active Learning Process </t>
  </si>
  <si>
    <t>Activity Details</t>
  </si>
  <si>
    <t>[Optional]
Time (mins)</t>
  </si>
  <si>
    <r>
      <rPr>
        <rFont val="Calibri"/>
        <b/>
        <sz val="12.0"/>
      </rPr>
      <t xml:space="preserve">[Optional]
</t>
    </r>
    <r>
      <rPr>
        <rFont val="Calibri"/>
        <b/>
        <color rgb="FF1155CC"/>
        <sz val="12.0"/>
        <u/>
      </rPr>
      <t>Virtual / Physical</t>
    </r>
  </si>
  <si>
    <r>
      <rPr>
        <rFont val="Calibri"/>
        <b/>
        <sz val="12.0"/>
      </rPr>
      <t xml:space="preserve">[Optional]
</t>
    </r>
    <r>
      <rPr>
        <rFont val="Calibri"/>
        <b/>
        <color rgb="FF1155CC"/>
        <sz val="12.0"/>
        <u/>
      </rPr>
      <t>Synchronous / Asynchronous</t>
    </r>
  </si>
  <si>
    <r>
      <rPr>
        <rFont val="Calibri"/>
        <b/>
        <sz val="12.0"/>
      </rPr>
      <t xml:space="preserve">[Optional] 
</t>
    </r>
    <r>
      <rPr>
        <rFont val="Calibri"/>
        <b/>
        <color rgb="FF1155CC"/>
        <sz val="12.0"/>
        <u/>
      </rPr>
      <t>Key Applications of Technology</t>
    </r>
  </si>
  <si>
    <t>Note: 
1. Please do not add or delete any rows below. 
2. After you have filled in your activities and selected the type of interaction and active learning process, please click on the "Output' tab to view your design map.</t>
  </si>
  <si>
    <t>Teacher - Student</t>
  </si>
  <si>
    <t>Activity ##
Details
[Tech tool]</t>
  </si>
  <si>
    <t>Facilitate Learning Together</t>
  </si>
  <si>
    <t>Level of technology integration:</t>
  </si>
  <si>
    <t>Social Plane</t>
  </si>
  <si>
    <t>Community (Student - Community)</t>
  </si>
  <si>
    <t>Class (Teacher - Student)</t>
  </si>
  <si>
    <t>Group (Student - Student)</t>
  </si>
  <si>
    <t>Individual (Student - Content)</t>
  </si>
  <si>
    <t>Legend</t>
  </si>
  <si>
    <t>Mins, % total</t>
  </si>
  <si>
    <t>Level of Technology Integration:</t>
  </si>
  <si>
    <t>Activate Learning</t>
  </si>
  <si>
    <t>Promote thinking and discussion</t>
  </si>
  <si>
    <t>Facilitate Demonstration of Learning</t>
  </si>
  <si>
    <r>
      <rPr>
        <rFont val="Trebuchet MS"/>
        <color theme="1"/>
      </rPr>
      <t xml:space="preserve">Refer to the </t>
    </r>
    <r>
      <rPr>
        <rFont val="Trebuchet MS"/>
        <color rgb="FF1155CC"/>
        <u/>
      </rPr>
      <t>Replacement-Amplification-Transformation (RAT) Model</t>
    </r>
    <r>
      <rPr>
        <rFont val="Trebuchet MS"/>
        <color theme="1"/>
      </rPr>
      <t xml:space="preserve"> to find out more about the level of Technology Integration.</t>
    </r>
  </si>
  <si>
    <t>Monitor and Provide Feedback</t>
  </si>
  <si>
    <r>
      <rPr>
        <rFont val="Trebuchet MS"/>
        <color theme="1"/>
      </rPr>
      <t xml:space="preserve">The </t>
    </r>
    <r>
      <rPr>
        <rFont val="Trebuchet MS"/>
        <color rgb="FF1155CC"/>
        <u/>
      </rPr>
      <t>Quick Guide to EdTech PS</t>
    </r>
    <r>
      <rPr>
        <rFont val="Trebuchet MS"/>
        <color theme="1"/>
      </rPr>
      <t xml:space="preserve"> gives teachers an overview of how to start applying the considerations in EdTech PS.</t>
    </r>
  </si>
  <si>
    <t>`</t>
  </si>
  <si>
    <r>
      <rPr>
        <rFont val="Trebuchet MS"/>
        <color theme="1"/>
      </rPr>
      <t xml:space="preserve">The </t>
    </r>
    <r>
      <rPr>
        <rFont val="Trebuchet MS"/>
        <color rgb="FF1155CC"/>
        <u/>
      </rPr>
      <t>online Guide to e-Pedagogy</t>
    </r>
    <r>
      <rPr>
        <rFont val="Trebuchet MS"/>
        <color theme="1"/>
      </rPr>
      <t xml:space="preserve"> (via iCON account) provides details and examples for interested teachers and guides them in lesson design (via the ‘Design Now’ segment).</t>
    </r>
  </si>
  <si>
    <t>mins</t>
  </si>
  <si>
    <t>DO NOT EDIT - HELPER CELLS</t>
  </si>
  <si>
    <t>.</t>
  </si>
  <si>
    <t>KAT image</t>
  </si>
  <si>
    <t>AL colour</t>
  </si>
  <si>
    <t>Social y-axis</t>
  </si>
  <si>
    <t xml:space="preserve">Footnote: </t>
  </si>
  <si>
    <t>Charts are for teacher to reflect on their enacted lesson vs planned lesson.</t>
  </si>
  <si>
    <t>Time allocated for the different types of activity and types of interaction are to support teachers in reflecting if the activity design is adequate for the learning outcome.</t>
  </si>
  <si>
    <t>There is no specific ratio for the time spends and types of interaction.</t>
  </si>
  <si>
    <t>Render</t>
  </si>
  <si>
    <t>KAT</t>
  </si>
  <si>
    <t>Image link</t>
  </si>
  <si>
    <t>ALP</t>
  </si>
  <si>
    <t>COLOUR</t>
  </si>
  <si>
    <t>HEX</t>
  </si>
  <si>
    <t>Social Ladder</t>
  </si>
  <si>
    <t>Y-axis</t>
  </si>
  <si>
    <t>Time</t>
  </si>
  <si>
    <t>Support Assessment for Learning</t>
  </si>
  <si>
    <t>https://imgur.com/OKELOmE.png</t>
  </si>
  <si>
    <t>Activate learning</t>
  </si>
  <si>
    <t>#6aced8</t>
  </si>
  <si>
    <t>Student - Community</t>
  </si>
  <si>
    <t>Community</t>
  </si>
  <si>
    <t>Develop Metacognition</t>
  </si>
  <si>
    <t>https://imgur.com/GcMDdyp.png</t>
  </si>
  <si>
    <t>#cc6bff</t>
  </si>
  <si>
    <t>Class</t>
  </si>
  <si>
    <t>https://imgur.com/I6filTP.png</t>
  </si>
  <si>
    <t>Facilitate demonstration of learning</t>
  </si>
  <si>
    <t>#ffc000</t>
  </si>
  <si>
    <t>Student - Student</t>
  </si>
  <si>
    <t>Group</t>
  </si>
  <si>
    <t>Foster Conceptual Change</t>
  </si>
  <si>
    <t>https://imgur.com/B5AW0KZ.png</t>
  </si>
  <si>
    <t>Monitor and provide feedback</t>
  </si>
  <si>
    <t>#f6bbbf</t>
  </si>
  <si>
    <t>Student - Content</t>
  </si>
  <si>
    <t>Individual</t>
  </si>
  <si>
    <t>Provide Differentiation</t>
  </si>
  <si>
    <t>https://imgur.com/PuEv8Mx.png</t>
  </si>
  <si>
    <t>Enable Personalisation</t>
  </si>
  <si>
    <t>https://imgur.com/1PLHk6i.png</t>
  </si>
  <si>
    <t>Embed Scaffolding</t>
  </si>
  <si>
    <t>https://imgur.com/nL9ecjp.png</t>
  </si>
  <si>
    <t>Increase Motivation</t>
  </si>
  <si>
    <t>https://imgur.com/1N0vwh1.png</t>
  </si>
  <si>
    <t>Mins</t>
  </si>
  <si>
    <t>Sync / Async</t>
  </si>
  <si>
    <t>Physical</t>
  </si>
  <si>
    <t>Virtual</t>
  </si>
  <si>
    <t>Synchronous</t>
  </si>
  <si>
    <t>Asynchronous</t>
  </si>
  <si>
    <t>NEW</t>
  </si>
</sst>
</file>

<file path=xl/styles.xml><?xml version="1.0" encoding="utf-8"?>
<styleSheet xmlns="http://schemas.openxmlformats.org/spreadsheetml/2006/main" xmlns:x14ac="http://schemas.microsoft.com/office/spreadsheetml/2009/9/ac" xmlns:mc="http://schemas.openxmlformats.org/markup-compatibility/2006">
  <fonts count="61">
    <font>
      <sz val="10.0"/>
      <color rgb="FF000000"/>
      <name val="Arial"/>
      <scheme val="minor"/>
    </font>
    <font>
      <b/>
      <sz val="24.0"/>
      <color theme="1"/>
      <name val="Calibri"/>
    </font>
    <font>
      <sz val="12.0"/>
      <color theme="1"/>
      <name val="Calibri"/>
    </font>
    <font>
      <u/>
      <sz val="12.0"/>
      <color rgb="FF0000FF"/>
      <name val="Calibri"/>
    </font>
    <font>
      <sz val="12.0"/>
      <color rgb="FF0000FF"/>
      <name val="Calibri"/>
    </font>
    <font>
      <i/>
      <sz val="12.0"/>
      <color rgb="FFF6BBBF"/>
      <name val="Calibri"/>
    </font>
    <font>
      <b/>
      <sz val="18.0"/>
      <color theme="1"/>
      <name val="Calibri"/>
    </font>
    <font/>
    <font>
      <b/>
      <sz val="12.0"/>
      <color rgb="FF000000"/>
      <name val="Calibri"/>
    </font>
    <font>
      <sz val="11.0"/>
      <color theme="1"/>
      <name val="Calibri"/>
    </font>
    <font>
      <sz val="11.0"/>
      <color rgb="FFB7B7B7"/>
      <name val="Calibri"/>
    </font>
    <font>
      <b/>
      <sz val="9.0"/>
      <color theme="1"/>
      <name val="Calibri"/>
    </font>
    <font>
      <u/>
      <sz val="11.0"/>
      <color rgb="FF0000FF"/>
      <name val="Calibri"/>
    </font>
    <font>
      <u/>
      <sz val="11.0"/>
      <color rgb="FF0000FF"/>
      <name val="Calibri"/>
    </font>
    <font>
      <b/>
      <u/>
      <sz val="12.0"/>
      <color rgb="FF0000FF"/>
      <name val="Calibri"/>
    </font>
    <font>
      <b/>
      <sz val="12.0"/>
      <color theme="1"/>
      <name val="Calibri"/>
    </font>
    <font>
      <b/>
      <u/>
      <sz val="12.0"/>
      <color rgb="FF0000FF"/>
      <name val="Calibri"/>
    </font>
    <font>
      <b/>
      <u/>
      <sz val="12.0"/>
      <color rgb="FF0000FF"/>
      <name val="Calibri"/>
    </font>
    <font>
      <b/>
      <u/>
      <sz val="12.0"/>
      <color rgb="FF0000FF"/>
      <name val="Calibri"/>
    </font>
    <font>
      <b/>
      <sz val="12.0"/>
      <color rgb="FF0000FF"/>
      <name val="Calibri"/>
    </font>
    <font>
      <b/>
      <sz val="13.0"/>
      <color theme="1"/>
      <name val="Calibri"/>
    </font>
    <font>
      <b/>
      <u/>
      <sz val="12.0"/>
      <color rgb="FF0000FF"/>
      <name val="Calibri"/>
    </font>
    <font>
      <sz val="12.0"/>
      <color theme="1"/>
      <name val="Trebuchet MS"/>
    </font>
    <font>
      <b/>
      <sz val="12.0"/>
      <color theme="1"/>
      <name val="Trebuchet MS"/>
    </font>
    <font>
      <color theme="1"/>
      <name val="Trebuchet MS"/>
    </font>
    <font>
      <b/>
      <sz val="8.0"/>
      <color rgb="FF000000"/>
      <name val="Trebuchet MS"/>
    </font>
    <font>
      <sz val="10.0"/>
      <color rgb="FF000000"/>
      <name val="Trebuchet MS"/>
    </font>
    <font>
      <sz val="10.0"/>
      <color theme="1"/>
      <name val="Trebuchet MS"/>
    </font>
    <font>
      <b/>
      <sz val="8.0"/>
      <color theme="1"/>
      <name val="Trebuchet MS"/>
    </font>
    <font>
      <color theme="1"/>
      <name val="Arial"/>
    </font>
    <font>
      <b/>
      <sz val="10.0"/>
      <color theme="1"/>
      <name val="Trebuchet MS"/>
    </font>
    <font>
      <sz val="8.0"/>
      <color theme="1"/>
      <name val="Trebuchet MS"/>
    </font>
    <font>
      <b/>
      <sz val="9.0"/>
      <color rgb="FF000000"/>
      <name val="Trebuchet MS"/>
    </font>
    <font>
      <sz val="6.0"/>
      <color theme="1"/>
      <name val="Trebuchet MS"/>
    </font>
    <font>
      <b/>
      <color theme="1"/>
      <name val="Trebuchet MS"/>
    </font>
    <font>
      <color theme="1"/>
      <name val="Arial"/>
      <scheme val="minor"/>
    </font>
    <font>
      <b/>
      <i/>
      <color theme="1"/>
      <name val="Trebuchet MS"/>
    </font>
    <font>
      <b/>
      <color theme="1"/>
      <name val="Arial"/>
      <scheme val="minor"/>
    </font>
    <font>
      <u/>
      <color theme="1"/>
      <name val="Trebuchet MS"/>
    </font>
    <font>
      <i/>
      <sz val="10.0"/>
      <color rgb="FF000000"/>
      <name val="Nunito"/>
    </font>
    <font>
      <sz val="10.0"/>
      <color rgb="FFF3F3F3"/>
      <name val="Nunito"/>
    </font>
    <font>
      <color rgb="FF000000"/>
      <name val="Nunito"/>
    </font>
    <font>
      <b/>
      <color rgb="FF000000"/>
      <name val="Nunito"/>
    </font>
    <font>
      <color rgb="FFF3F3F3"/>
      <name val="Nunito"/>
    </font>
    <font>
      <i/>
      <color rgb="FF000000"/>
      <name val="Nunito"/>
    </font>
    <font>
      <b/>
      <sz val="10.0"/>
      <color rgb="FF000000"/>
      <name val="Nunito"/>
    </font>
    <font>
      <i/>
      <sz val="10.0"/>
      <color rgb="FF999999"/>
      <name val="Nunito"/>
    </font>
    <font>
      <sz val="10.0"/>
      <color rgb="FF999999"/>
      <name val="Nunito"/>
    </font>
    <font>
      <color rgb="FF999999"/>
      <name val="Nunito"/>
    </font>
    <font>
      <b/>
      <i/>
      <sz val="10.0"/>
      <color rgb="FF999999"/>
      <name val="Nunito"/>
    </font>
    <font>
      <b/>
      <color rgb="FF999999"/>
      <name val="Nunito"/>
    </font>
    <font>
      <u/>
      <sz val="9.0"/>
      <color rgb="FF999999"/>
      <name val="&quot;Google Sans Mono&quot;"/>
    </font>
    <font>
      <sz val="9.0"/>
      <color rgb="FF999999"/>
      <name val="&quot;Google Sans Mono&quot;"/>
    </font>
    <font>
      <sz val="7.0"/>
      <color theme="1"/>
      <name val="Arial"/>
      <scheme val="minor"/>
    </font>
    <font>
      <sz val="7.0"/>
      <color rgb="FF000000"/>
      <name val="Arial"/>
    </font>
    <font>
      <color rgb="FFFFFFFF"/>
      <name val="Arial"/>
      <scheme val="minor"/>
    </font>
    <font>
      <u/>
      <sz val="8.0"/>
      <color theme="1"/>
      <name val="Arial"/>
    </font>
    <font>
      <u/>
      <sz val="9.0"/>
      <color rgb="FF000000"/>
      <name val="Arial"/>
    </font>
    <font>
      <u/>
      <sz val="8.0"/>
      <color theme="1"/>
      <name val="&quot;Google Sans Mono&quot;"/>
    </font>
    <font>
      <sz val="8.0"/>
      <color theme="1"/>
      <name val="&quot;Google Sans Mono&quot;"/>
    </font>
    <font>
      <u/>
      <sz val="8.0"/>
      <color rgb="FF000000"/>
      <name val="Arial"/>
    </font>
  </fonts>
  <fills count="18">
    <fill>
      <patternFill patternType="none"/>
    </fill>
    <fill>
      <patternFill patternType="lightGray"/>
    </fill>
    <fill>
      <patternFill patternType="solid">
        <fgColor rgb="FFC27BA0"/>
        <bgColor rgb="FFC27BA0"/>
      </patternFill>
    </fill>
    <fill>
      <patternFill patternType="solid">
        <fgColor rgb="FFEAD1DC"/>
        <bgColor rgb="FFEAD1DC"/>
      </patternFill>
    </fill>
    <fill>
      <patternFill patternType="solid">
        <fgColor rgb="FF6FA8DC"/>
        <bgColor rgb="FF6FA8DC"/>
      </patternFill>
    </fill>
    <fill>
      <patternFill patternType="solid">
        <fgColor rgb="FFF7CB4D"/>
        <bgColor rgb="FFF7CB4D"/>
      </patternFill>
    </fill>
    <fill>
      <patternFill patternType="solid">
        <fgColor rgb="FFF3F3F3"/>
        <bgColor rgb="FFF3F3F3"/>
      </patternFill>
    </fill>
    <fill>
      <patternFill patternType="solid">
        <fgColor rgb="FFFFFFFF"/>
        <bgColor rgb="FFFFFFFF"/>
      </patternFill>
    </fill>
    <fill>
      <patternFill patternType="solid">
        <fgColor rgb="FFFEF8E3"/>
        <bgColor rgb="FFFEF8E3"/>
      </patternFill>
    </fill>
    <fill>
      <patternFill patternType="solid">
        <fgColor rgb="FF93C47D"/>
        <bgColor rgb="FF93C47D"/>
      </patternFill>
    </fill>
    <fill>
      <patternFill patternType="solid">
        <fgColor rgb="FFD9EAD3"/>
        <bgColor rgb="FFD9EAD3"/>
      </patternFill>
    </fill>
    <fill>
      <patternFill patternType="solid">
        <fgColor rgb="FFFCE5CD"/>
        <bgColor rgb="FFFCE5CD"/>
      </patternFill>
    </fill>
    <fill>
      <patternFill patternType="solid">
        <fgColor rgb="FF6ACED8"/>
        <bgColor rgb="FF6ACED8"/>
      </patternFill>
    </fill>
    <fill>
      <patternFill patternType="solid">
        <fgColor rgb="FFCC6BFF"/>
        <bgColor rgb="FFCC6BFF"/>
      </patternFill>
    </fill>
    <fill>
      <patternFill patternType="solid">
        <fgColor rgb="FFFFC000"/>
        <bgColor rgb="FFFFC000"/>
      </patternFill>
    </fill>
    <fill>
      <patternFill patternType="solid">
        <fgColor rgb="FFF6BBBF"/>
        <bgColor rgb="FFF6BBBF"/>
      </patternFill>
    </fill>
    <fill>
      <patternFill patternType="solid">
        <fgColor rgb="FFD9D9D9"/>
        <bgColor rgb="FFD9D9D9"/>
      </patternFill>
    </fill>
    <fill>
      <patternFill patternType="solid">
        <fgColor rgb="FF000000"/>
        <bgColor rgb="FF000000"/>
      </patternFill>
    </fill>
  </fills>
  <borders count="39">
    <border/>
    <border>
      <left style="thin">
        <color rgb="FFEAD1DC"/>
      </left>
      <right style="thin">
        <color rgb="FFEAD1DC"/>
      </right>
      <top style="thin">
        <color rgb="FFEAD1DC"/>
      </top>
      <bottom style="thin">
        <color rgb="FFEAD1DC"/>
      </bottom>
    </border>
    <border>
      <left style="thin">
        <color rgb="FFF3F3F3"/>
      </left>
      <top style="thin">
        <color rgb="FFF3F3F3"/>
      </top>
    </border>
    <border>
      <top style="thin">
        <color rgb="FFF3F3F3"/>
      </top>
    </border>
    <border>
      <right style="thin">
        <color rgb="FFF3F3F3"/>
      </right>
      <top style="thin">
        <color rgb="FFF3F3F3"/>
      </top>
    </border>
    <border>
      <left style="thin">
        <color rgb="FFDEE4F2"/>
      </left>
      <top style="thin">
        <color rgb="FFDEE4F2"/>
      </top>
      <bottom style="thin">
        <color rgb="FFDEE4F2"/>
      </bottom>
    </border>
    <border>
      <top style="thin">
        <color rgb="FFDEE4F2"/>
      </top>
      <bottom style="thin">
        <color rgb="FFDEE4F2"/>
      </bottom>
    </border>
    <border>
      <right style="thin">
        <color rgb="FFDEE4F2"/>
      </right>
      <top style="thin">
        <color rgb="FFDEE4F2"/>
      </top>
      <bottom style="thin">
        <color rgb="FFDEE4F2"/>
      </bottom>
    </border>
    <border>
      <left style="thin">
        <color rgb="FF000000"/>
      </left>
      <bottom style="thin">
        <color rgb="FFF3F3F3"/>
      </bottom>
    </border>
    <border>
      <bottom style="thin">
        <color rgb="FFF3F3F3"/>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F3F3F3"/>
      </top>
    </border>
    <border>
      <left style="thin">
        <color rgb="FF000000"/>
      </left>
    </border>
    <border>
      <left style="thin">
        <color rgb="FF000000"/>
      </left>
      <bottom style="thin">
        <color rgb="FF000000"/>
      </bottom>
    </border>
    <border>
      <bottom style="thin">
        <color rgb="FF000000"/>
      </bottom>
    </border>
    <border>
      <right style="thin">
        <color rgb="FF000000"/>
      </right>
      <bottom style="thin">
        <color rgb="FF000000"/>
      </bottom>
    </border>
    <border>
      <right style="thin">
        <color rgb="FF000000"/>
      </right>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DFDDC7"/>
      </left>
      <right style="thin">
        <color rgb="FFDFDDC7"/>
      </right>
      <top style="thin">
        <color rgb="FFDFDDC7"/>
      </top>
      <bottom style="thin">
        <color rgb="FFDFDDC7"/>
      </bottom>
    </border>
    <border>
      <left style="thin">
        <color rgb="FFF3F3F3"/>
      </left>
      <right style="thin">
        <color rgb="FFF3F3F3"/>
      </right>
      <bottom style="thin">
        <color rgb="FFF3F3F3"/>
      </bottom>
    </border>
    <border>
      <right style="thin">
        <color rgb="FFF3F3F3"/>
      </right>
      <bottom style="thin">
        <color rgb="FFF3F3F3"/>
      </bottom>
    </border>
    <border>
      <left style="thin">
        <color rgb="FFF3F3F3"/>
      </left>
      <right style="thin">
        <color rgb="FFF3F3F3"/>
      </right>
      <top style="thin">
        <color rgb="FFF3F3F3"/>
      </top>
      <bottom style="thin">
        <color rgb="FFF3F3F3"/>
      </bottom>
    </border>
    <border>
      <left style="thin">
        <color rgb="FFFFFFFF"/>
      </left>
      <top style="thin">
        <color rgb="FFFFFFFF"/>
      </top>
      <bottom style="thin">
        <color rgb="FFFFFFFF"/>
      </bottom>
    </border>
    <border>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border>
    <border>
      <right style="medium">
        <color rgb="FF000000"/>
      </right>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medium">
        <color rgb="FF000000"/>
      </left>
      <right style="medium">
        <color rgb="FF000000"/>
      </right>
      <top style="medium">
        <color rgb="FF000000"/>
      </top>
      <bottom style="medium">
        <color rgb="FF000000"/>
      </bottom>
    </border>
    <border>
      <left style="medium">
        <color rgb="FF000000"/>
      </left>
      <right style="medium">
        <color rgb="FF000000"/>
      </right>
      <top style="medium">
        <color rgb="FF000000"/>
      </top>
    </border>
    <border>
      <left style="medium">
        <color rgb="FF000000"/>
      </left>
      <right style="medium">
        <color rgb="FF000000"/>
      </right>
      <bottom style="medium">
        <color rgb="FF000000"/>
      </bottom>
    </border>
  </borders>
  <cellStyleXfs count="1">
    <xf borderId="0" fillId="0" fontId="0" numFmtId="0" applyAlignment="1" applyFont="1"/>
  </cellStyleXfs>
  <cellXfs count="171">
    <xf borderId="0" fillId="0" fontId="0" numFmtId="0" xfId="0" applyAlignment="1" applyFont="1">
      <alignment readingOrder="0" shrinkToFit="0" vertical="bottom" wrapText="0"/>
    </xf>
    <xf borderId="0" fillId="2" fontId="1" numFmtId="0" xfId="0" applyAlignment="1" applyFill="1" applyFont="1">
      <alignment horizontal="center" vertical="center"/>
    </xf>
    <xf borderId="1" fillId="3" fontId="2" numFmtId="0" xfId="0" applyAlignment="1" applyBorder="1" applyFill="1" applyFont="1">
      <alignment readingOrder="0" shrinkToFit="0" vertical="center" wrapText="1"/>
    </xf>
    <xf borderId="1" fillId="3" fontId="3" numFmtId="0" xfId="0" applyAlignment="1" applyBorder="1" applyFont="1">
      <alignment readingOrder="0" shrinkToFit="0" vertical="center" wrapText="1"/>
    </xf>
    <xf borderId="1" fillId="3" fontId="4" numFmtId="0" xfId="0" applyAlignment="1" applyBorder="1" applyFont="1">
      <alignment readingOrder="0" shrinkToFit="0" vertical="center" wrapText="1"/>
    </xf>
    <xf borderId="0" fillId="3" fontId="5" numFmtId="0" xfId="0" applyAlignment="1" applyFont="1">
      <alignment readingOrder="0" shrinkToFit="0" vertical="center" wrapText="1"/>
    </xf>
    <xf borderId="2" fillId="4" fontId="6" numFmtId="0" xfId="0" applyAlignment="1" applyBorder="1" applyFill="1" applyFont="1">
      <alignment horizontal="center" readingOrder="0" vertical="center"/>
    </xf>
    <xf borderId="3" fillId="5" fontId="7" numFmtId="0" xfId="0" applyBorder="1" applyFill="1" applyFont="1"/>
    <xf borderId="4" fillId="5" fontId="7" numFmtId="0" xfId="0" applyBorder="1" applyFont="1"/>
    <xf borderId="5" fillId="6" fontId="8" numFmtId="0" xfId="0" applyAlignment="1" applyBorder="1" applyFill="1" applyFont="1">
      <alignment horizontal="right" readingOrder="0" vertical="center"/>
    </xf>
    <xf borderId="6" fillId="7" fontId="7" numFmtId="0" xfId="0" applyBorder="1" applyFill="1" applyFont="1"/>
    <xf borderId="7" fillId="7" fontId="7" numFmtId="0" xfId="0" applyBorder="1" applyFont="1"/>
    <xf borderId="8" fillId="6" fontId="8" numFmtId="0" xfId="0" applyAlignment="1" applyBorder="1" applyFont="1">
      <alignment horizontal="right" readingOrder="0" vertical="center"/>
    </xf>
    <xf borderId="9" fillId="8" fontId="7" numFmtId="0" xfId="0" applyBorder="1" applyFill="1" applyFont="1"/>
    <xf borderId="10" fillId="7" fontId="9" numFmtId="0" xfId="0" applyAlignment="1" applyBorder="1" applyFont="1">
      <alignment horizontal="left" vertical="center"/>
    </xf>
    <xf borderId="11" fillId="8" fontId="7" numFmtId="0" xfId="0" applyBorder="1" applyFont="1"/>
    <xf borderId="12" fillId="8" fontId="7" numFmtId="0" xfId="0" applyBorder="1" applyFont="1"/>
    <xf borderId="7" fillId="6" fontId="9" numFmtId="0" xfId="0" applyAlignment="1" applyBorder="1" applyFont="1">
      <alignment horizontal="left" vertical="center"/>
    </xf>
    <xf borderId="0" fillId="6" fontId="8" numFmtId="0" xfId="0" applyAlignment="1" applyFont="1">
      <alignment horizontal="right" readingOrder="0" vertical="center"/>
    </xf>
    <xf borderId="13" fillId="6" fontId="8" numFmtId="0" xfId="0" applyAlignment="1" applyBorder="1" applyFont="1">
      <alignment horizontal="right" readingOrder="0" vertical="center"/>
    </xf>
    <xf borderId="3" fillId="8" fontId="7" numFmtId="0" xfId="0" applyBorder="1" applyFont="1"/>
    <xf borderId="14" fillId="6" fontId="8" numFmtId="0" xfId="0" applyAlignment="1" applyBorder="1" applyFont="1">
      <alignment horizontal="right" readingOrder="0" vertical="center"/>
    </xf>
    <xf borderId="7" fillId="6" fontId="9" numFmtId="0" xfId="0" applyAlignment="1" applyBorder="1" applyFont="1">
      <alignment horizontal="left" readingOrder="0" vertical="center"/>
    </xf>
    <xf borderId="10" fillId="7" fontId="10" numFmtId="0" xfId="0" applyAlignment="1" applyBorder="1" applyFont="1">
      <alignment horizontal="left" readingOrder="0" vertical="center"/>
    </xf>
    <xf borderId="7" fillId="6" fontId="10" numFmtId="0" xfId="0" applyAlignment="1" applyBorder="1" applyFont="1">
      <alignment horizontal="left" readingOrder="0" vertical="center"/>
    </xf>
    <xf borderId="14" fillId="6" fontId="8" numFmtId="0" xfId="0" applyAlignment="1" applyBorder="1" applyFont="1">
      <alignment horizontal="right" readingOrder="0" shrinkToFit="0" vertical="center" wrapText="1"/>
    </xf>
    <xf borderId="15" fillId="9" fontId="8" numFmtId="0" xfId="0" applyAlignment="1" applyBorder="1" applyFill="1" applyFont="1">
      <alignment horizontal="center" readingOrder="0" vertical="center"/>
    </xf>
    <xf borderId="16" fillId="8" fontId="7" numFmtId="0" xfId="0" applyBorder="1" applyFont="1"/>
    <xf borderId="17" fillId="8" fontId="7" numFmtId="0" xfId="0" applyBorder="1" applyFont="1"/>
    <xf borderId="14" fillId="9" fontId="8" numFmtId="0" xfId="0" applyAlignment="1" applyBorder="1" applyFont="1">
      <alignment horizontal="center" readingOrder="0" vertical="center"/>
    </xf>
    <xf borderId="18" fillId="8" fontId="7" numFmtId="0" xfId="0" applyBorder="1" applyFont="1"/>
    <xf borderId="19" fillId="9" fontId="8" numFmtId="0" xfId="0" applyAlignment="1" applyBorder="1" applyFont="1">
      <alignment horizontal="center" readingOrder="0" vertical="center"/>
    </xf>
    <xf borderId="10" fillId="9" fontId="8" numFmtId="0" xfId="0" applyAlignment="1" applyBorder="1" applyFont="1">
      <alignment horizontal="center" readingOrder="0" vertical="center"/>
    </xf>
    <xf borderId="12" fillId="7" fontId="7" numFmtId="0" xfId="0" applyBorder="1" applyFont="1"/>
    <xf borderId="15" fillId="7" fontId="7" numFmtId="0" xfId="0" applyBorder="1" applyFont="1"/>
    <xf borderId="17" fillId="7" fontId="7" numFmtId="0" xfId="0" applyBorder="1" applyFont="1"/>
    <xf borderId="10" fillId="10" fontId="11" numFmtId="0" xfId="0" applyAlignment="1" applyBorder="1" applyFill="1" applyFont="1">
      <alignment horizontal="left" readingOrder="0" shrinkToFit="0" vertical="center" wrapText="1"/>
    </xf>
    <xf borderId="19" fillId="7" fontId="9" numFmtId="0" xfId="0" applyAlignment="1" applyBorder="1" applyFont="1">
      <alignment horizontal="left" readingOrder="0" shrinkToFit="0" vertical="top" wrapText="1"/>
    </xf>
    <xf borderId="10" fillId="7" fontId="9" numFmtId="0" xfId="0" applyAlignment="1" applyBorder="1" applyFont="1">
      <alignment horizontal="left" readingOrder="0" shrinkToFit="0" vertical="top" wrapText="1"/>
    </xf>
    <xf borderId="19" fillId="7" fontId="12" numFmtId="0" xfId="0" applyAlignment="1" applyBorder="1" applyFont="1">
      <alignment horizontal="left" readingOrder="0" shrinkToFit="0" vertical="top" wrapText="1"/>
    </xf>
    <xf borderId="10" fillId="7" fontId="13" numFmtId="0" xfId="0" applyAlignment="1" applyBorder="1" applyFont="1">
      <alignment horizontal="left" readingOrder="0" shrinkToFit="0" vertical="top" wrapText="1"/>
    </xf>
    <xf borderId="19" fillId="7" fontId="9" numFmtId="0" xfId="0" applyAlignment="1" applyBorder="1" applyFont="1">
      <alignment horizontal="left" shrinkToFit="0" vertical="top" wrapText="1"/>
    </xf>
    <xf borderId="10" fillId="7" fontId="9" numFmtId="0" xfId="0" applyAlignment="1" applyBorder="1" applyFont="1">
      <alignment horizontal="left" shrinkToFit="0" vertical="top" wrapText="1"/>
    </xf>
    <xf borderId="10" fillId="7" fontId="9" numFmtId="0" xfId="0" applyAlignment="1" applyBorder="1" applyFont="1">
      <alignment horizontal="left" readingOrder="0" shrinkToFit="0" vertical="top" wrapText="1"/>
    </xf>
    <xf borderId="20" fillId="7" fontId="9" numFmtId="0" xfId="0" applyAlignment="1" applyBorder="1" applyFont="1">
      <alignment horizontal="left" shrinkToFit="0" vertical="top" wrapText="1"/>
    </xf>
    <xf borderId="9" fillId="6" fontId="14" numFmtId="0" xfId="0" applyAlignment="1" applyBorder="1" applyFont="1">
      <alignment horizontal="right" readingOrder="0" vertical="center"/>
    </xf>
    <xf borderId="9" fillId="7" fontId="7" numFmtId="0" xfId="0" applyBorder="1" applyFont="1"/>
    <xf borderId="10" fillId="7" fontId="9" numFmtId="0" xfId="0" applyAlignment="1" applyBorder="1" applyFont="1">
      <alignment readingOrder="0" vertical="center"/>
    </xf>
    <xf borderId="11" fillId="7" fontId="7" numFmtId="0" xfId="0" applyBorder="1" applyFont="1"/>
    <xf borderId="10" fillId="5" fontId="6" numFmtId="0" xfId="0" applyAlignment="1" applyBorder="1" applyFont="1">
      <alignment horizontal="center" readingOrder="0" shrinkToFit="0" vertical="center" wrapText="1"/>
    </xf>
    <xf borderId="0" fillId="5" fontId="15" numFmtId="0" xfId="0" applyAlignment="1" applyFont="1">
      <alignment horizontal="center" readingOrder="0" shrinkToFit="0" vertical="center" wrapText="1"/>
    </xf>
    <xf borderId="19" fillId="5" fontId="15" numFmtId="0" xfId="0" applyAlignment="1" applyBorder="1" applyFont="1">
      <alignment horizontal="center" readingOrder="0" shrinkToFit="0" vertical="center" wrapText="1"/>
    </xf>
    <xf borderId="19" fillId="5" fontId="16" numFmtId="0" xfId="0" applyAlignment="1" applyBorder="1" applyFont="1">
      <alignment horizontal="center" readingOrder="0" shrinkToFit="0" vertical="center" wrapText="1"/>
    </xf>
    <xf borderId="10" fillId="5" fontId="15" numFmtId="0" xfId="0" applyAlignment="1" applyBorder="1" applyFont="1">
      <alignment horizontal="center" readingOrder="0" shrinkToFit="0" vertical="center" wrapText="1"/>
    </xf>
    <xf borderId="11" fillId="5" fontId="15" numFmtId="0" xfId="0" applyAlignment="1" applyBorder="1" applyFont="1">
      <alignment horizontal="center" readingOrder="0" shrinkToFit="0" vertical="center" wrapText="1"/>
    </xf>
    <xf borderId="11" fillId="5" fontId="17" numFmtId="0" xfId="0" applyAlignment="1" applyBorder="1" applyFont="1">
      <alignment horizontal="center" readingOrder="0" shrinkToFit="0" vertical="center" wrapText="1"/>
    </xf>
    <xf borderId="12" fillId="5" fontId="18" numFmtId="0" xfId="0" applyAlignment="1" applyBorder="1" applyFont="1">
      <alignment horizontal="center" readingOrder="0" shrinkToFit="0" vertical="center" wrapText="1"/>
    </xf>
    <xf borderId="19" fillId="5" fontId="19" numFmtId="0" xfId="0" applyAlignment="1" applyBorder="1" applyFont="1">
      <alignment horizontal="center" readingOrder="0" shrinkToFit="0" vertical="center" wrapText="1"/>
    </xf>
    <xf borderId="0" fillId="11" fontId="11" numFmtId="0" xfId="0" applyAlignment="1" applyFill="1" applyFont="1">
      <alignment horizontal="left" readingOrder="0" shrinkToFit="0" vertical="center" wrapText="1"/>
    </xf>
    <xf borderId="0" fillId="11" fontId="20" numFmtId="0" xfId="0" applyAlignment="1" applyFont="1">
      <alignment horizontal="center" readingOrder="0" shrinkToFit="0" vertical="center" wrapText="1"/>
    </xf>
    <xf borderId="0" fillId="8" fontId="9" numFmtId="0" xfId="0" applyAlignment="1" applyFont="1">
      <alignment readingOrder="0" shrinkToFit="0" vertical="top" wrapText="1"/>
    </xf>
    <xf borderId="0" fillId="8" fontId="9" numFmtId="0" xfId="0" applyAlignment="1" applyFont="1">
      <alignment horizontal="left" readingOrder="0" shrinkToFit="0" vertical="top" wrapText="1"/>
    </xf>
    <xf borderId="0" fillId="7" fontId="9" numFmtId="0" xfId="0" applyAlignment="1" applyFont="1">
      <alignment readingOrder="0" shrinkToFit="0" vertical="top" wrapText="1"/>
    </xf>
    <xf borderId="0" fillId="7" fontId="9" numFmtId="0" xfId="0" applyAlignment="1" applyFont="1">
      <alignment horizontal="left" readingOrder="0" shrinkToFit="0" vertical="top" wrapText="1"/>
    </xf>
    <xf borderId="0" fillId="8" fontId="9" numFmtId="0" xfId="0" applyAlignment="1" applyFont="1">
      <alignment shrinkToFit="0" vertical="top" wrapText="1"/>
    </xf>
    <xf borderId="0" fillId="7" fontId="9" numFmtId="0" xfId="0" applyAlignment="1" applyFont="1">
      <alignment shrinkToFit="0" vertical="top" wrapText="1"/>
    </xf>
    <xf borderId="21" fillId="8" fontId="9" numFmtId="0" xfId="0" applyAlignment="1" applyBorder="1" applyFont="1">
      <alignment readingOrder="0" shrinkToFit="0" vertical="top" wrapText="1"/>
    </xf>
    <xf borderId="22" fillId="6" fontId="8" numFmtId="0" xfId="0" applyAlignment="1" applyBorder="1" applyFont="1">
      <alignment horizontal="right" readingOrder="0" vertical="center"/>
    </xf>
    <xf borderId="9" fillId="6" fontId="8" numFmtId="0" xfId="0" applyAlignment="1" applyBorder="1" applyFont="1">
      <alignment horizontal="right" readingOrder="0" vertical="center"/>
    </xf>
    <xf borderId="23" fillId="7" fontId="7" numFmtId="0" xfId="0" applyBorder="1" applyFont="1"/>
    <xf borderId="24" fillId="6" fontId="15" numFmtId="0" xfId="0" applyAlignment="1" applyBorder="1" applyFont="1">
      <alignment horizontal="right" readingOrder="0" shrinkToFit="0" vertical="center" wrapText="1"/>
    </xf>
    <xf borderId="9" fillId="6" fontId="21" numFmtId="0" xfId="0" applyAlignment="1" applyBorder="1" applyFont="1">
      <alignment horizontal="right" readingOrder="0" shrinkToFit="0" vertical="center" wrapText="1"/>
    </xf>
    <xf borderId="24" fillId="6" fontId="8" numFmtId="0" xfId="0" applyAlignment="1" applyBorder="1" applyFont="1">
      <alignment horizontal="right" readingOrder="0" vertical="center"/>
    </xf>
    <xf borderId="3" fillId="6" fontId="8" numFmtId="0" xfId="0" applyAlignment="1" applyBorder="1" applyFont="1">
      <alignment horizontal="right" readingOrder="0" vertical="center"/>
    </xf>
    <xf borderId="3" fillId="7" fontId="7" numFmtId="0" xfId="0" applyBorder="1" applyFont="1"/>
    <xf borderId="4" fillId="7" fontId="7" numFmtId="0" xfId="0" applyBorder="1" applyFont="1"/>
    <xf borderId="0" fillId="0" fontId="22" numFmtId="0" xfId="0" applyAlignment="1" applyFont="1">
      <alignment horizontal="left" readingOrder="0" shrinkToFit="0" wrapText="0"/>
    </xf>
    <xf borderId="0" fillId="0" fontId="23" numFmtId="0" xfId="0" applyAlignment="1" applyFont="1">
      <alignment horizontal="left" readingOrder="0" shrinkToFit="0" wrapText="0"/>
    </xf>
    <xf borderId="0" fillId="0" fontId="24" numFmtId="0" xfId="0" applyFont="1"/>
    <xf borderId="0" fillId="0" fontId="25" numFmtId="0" xfId="0" applyAlignment="1" applyFont="1">
      <alignment horizontal="center" shrinkToFit="0" vertical="top" wrapText="1"/>
    </xf>
    <xf borderId="0" fillId="0" fontId="26" numFmtId="0" xfId="0" applyAlignment="1" applyFont="1">
      <alignment horizontal="center" readingOrder="0" shrinkToFit="0" textRotation="0" vertical="center" wrapText="1"/>
    </xf>
    <xf borderId="0" fillId="0" fontId="27" numFmtId="0" xfId="0" applyAlignment="1" applyFont="1">
      <alignment horizontal="center" readingOrder="0" shrinkToFit="0" textRotation="0" vertical="center" wrapText="1"/>
    </xf>
    <xf borderId="0" fillId="0" fontId="28" numFmtId="0" xfId="0" applyAlignment="1" applyFont="1">
      <alignment horizontal="center" shrinkToFit="0" vertical="top" wrapText="1"/>
    </xf>
    <xf borderId="0" fillId="0" fontId="29" numFmtId="0" xfId="0" applyAlignment="1" applyFont="1">
      <alignment vertical="top"/>
    </xf>
    <xf borderId="0" fillId="0" fontId="30" numFmtId="0" xfId="0" applyAlignment="1" applyFont="1">
      <alignment horizontal="center" readingOrder="0" shrinkToFit="0" textRotation="0" vertical="center" wrapText="1"/>
    </xf>
    <xf borderId="0" fillId="0" fontId="31" numFmtId="0" xfId="0" applyAlignment="1" applyFont="1">
      <alignment horizontal="left" shrinkToFit="0" vertical="top" wrapText="1"/>
    </xf>
    <xf borderId="0" fillId="0" fontId="32" numFmtId="0" xfId="0" applyAlignment="1" applyFont="1">
      <alignment horizontal="center" shrinkToFit="0" textRotation="90" vertical="center" wrapText="1"/>
    </xf>
    <xf borderId="0" fillId="0" fontId="31" numFmtId="0" xfId="0" applyAlignment="1" applyFont="1">
      <alignment horizontal="center" shrinkToFit="0" vertical="top" wrapText="1"/>
    </xf>
    <xf borderId="0" fillId="0" fontId="33" numFmtId="0" xfId="0" applyAlignment="1" applyFont="1">
      <alignment horizontal="right" vertical="center"/>
    </xf>
    <xf borderId="25" fillId="0" fontId="24" numFmtId="0" xfId="0" applyAlignment="1" applyBorder="1" applyFont="1">
      <alignment horizontal="right" vertical="center"/>
    </xf>
    <xf borderId="26" fillId="0" fontId="7" numFmtId="0" xfId="0" applyBorder="1" applyFont="1"/>
    <xf borderId="27" fillId="0" fontId="24" numFmtId="0" xfId="0" applyAlignment="1" applyBorder="1" applyFont="1">
      <alignment horizontal="right" vertical="center"/>
    </xf>
    <xf borderId="0" fillId="6" fontId="24" numFmtId="0" xfId="0" applyAlignment="1" applyFont="1">
      <alignment horizontal="right"/>
    </xf>
    <xf borderId="28" fillId="0" fontId="34" numFmtId="0" xfId="0" applyAlignment="1" applyBorder="1" applyFont="1">
      <alignment horizontal="left" readingOrder="0" vertical="center"/>
    </xf>
    <xf borderId="29" fillId="0" fontId="35" numFmtId="0" xfId="0" applyAlignment="1" applyBorder="1" applyFont="1">
      <alignment vertical="center"/>
    </xf>
    <xf borderId="29" fillId="0" fontId="24" numFmtId="0" xfId="0" applyAlignment="1" applyBorder="1" applyFont="1">
      <alignment horizontal="right"/>
    </xf>
    <xf borderId="30" fillId="0" fontId="36" numFmtId="0" xfId="0" applyAlignment="1" applyBorder="1" applyFont="1">
      <alignment horizontal="right" readingOrder="0"/>
    </xf>
    <xf borderId="28" fillId="7" fontId="37" numFmtId="0" xfId="0" applyAlignment="1" applyBorder="1" applyFont="1">
      <alignment horizontal="center" readingOrder="0" vertical="center"/>
    </xf>
    <xf borderId="29" fillId="0" fontId="7" numFmtId="0" xfId="0" applyBorder="1" applyFont="1"/>
    <xf borderId="30" fillId="0" fontId="7" numFmtId="0" xfId="0" applyBorder="1" applyFont="1"/>
    <xf borderId="28" fillId="6" fontId="23" numFmtId="0" xfId="0" applyAlignment="1" applyBorder="1" applyFont="1">
      <alignment horizontal="center" vertical="center"/>
    </xf>
    <xf borderId="0" fillId="6" fontId="24" numFmtId="0" xfId="0" applyAlignment="1" applyFont="1">
      <alignment horizontal="left" readingOrder="0"/>
    </xf>
    <xf borderId="31" fillId="12" fontId="24" numFmtId="0" xfId="0" applyAlignment="1" applyBorder="1" applyFill="1" applyFont="1">
      <alignment vertical="center"/>
    </xf>
    <xf borderId="0" fillId="0" fontId="34" numFmtId="0" xfId="0" applyAlignment="1" applyFont="1">
      <alignment horizontal="left" readingOrder="0" shrinkToFit="0" vertical="center" wrapText="0"/>
    </xf>
    <xf borderId="0" fillId="0" fontId="34" numFmtId="0" xfId="0" applyAlignment="1" applyFont="1">
      <alignment horizontal="left" readingOrder="0" shrinkToFit="0" wrapText="0"/>
    </xf>
    <xf borderId="32" fillId="0" fontId="34" numFmtId="0" xfId="0" applyAlignment="1" applyBorder="1" applyFont="1">
      <alignment horizontal="right" readingOrder="0" shrinkToFit="0" wrapText="0"/>
    </xf>
    <xf borderId="32" fillId="0" fontId="34" numFmtId="0" xfId="0" applyAlignment="1" applyBorder="1" applyFont="1">
      <alignment horizontal="right" readingOrder="0" shrinkToFit="0" wrapText="0"/>
    </xf>
    <xf borderId="31" fillId="13" fontId="24" numFmtId="0" xfId="0" applyAlignment="1" applyBorder="1" applyFill="1" applyFont="1">
      <alignment vertical="center"/>
    </xf>
    <xf borderId="31" fillId="14" fontId="24" numFmtId="0" xfId="0" applyAlignment="1" applyBorder="1" applyFill="1" applyFont="1">
      <alignment vertical="center"/>
    </xf>
    <xf borderId="0" fillId="6" fontId="38" numFmtId="0" xfId="0" applyAlignment="1" applyFont="1">
      <alignment horizontal="left" readingOrder="0"/>
    </xf>
    <xf borderId="33" fillId="15" fontId="24" numFmtId="0" xfId="0" applyAlignment="1" applyBorder="1" applyFill="1" applyFont="1">
      <alignment vertical="center"/>
    </xf>
    <xf borderId="34" fillId="0" fontId="34" numFmtId="0" xfId="0" applyAlignment="1" applyBorder="1" applyFont="1">
      <alignment horizontal="left" readingOrder="0" shrinkToFit="0" vertical="center" wrapText="0"/>
    </xf>
    <xf borderId="34" fillId="0" fontId="34" numFmtId="0" xfId="0" applyAlignment="1" applyBorder="1" applyFont="1">
      <alignment horizontal="left" readingOrder="0" shrinkToFit="0" wrapText="0"/>
    </xf>
    <xf borderId="35" fillId="0" fontId="34" numFmtId="0" xfId="0" applyAlignment="1" applyBorder="1" applyFont="1">
      <alignment horizontal="right" readingOrder="0" shrinkToFit="0" wrapText="0"/>
    </xf>
    <xf borderId="35" fillId="0" fontId="34" numFmtId="0" xfId="0" applyAlignment="1" applyBorder="1" applyFont="1">
      <alignment horizontal="right" readingOrder="0" shrinkToFit="0" wrapText="0"/>
    </xf>
    <xf borderId="0" fillId="6" fontId="24" numFmtId="0" xfId="0" applyAlignment="1" applyFont="1">
      <alignment horizontal="right" readingOrder="0"/>
    </xf>
    <xf borderId="0" fillId="6" fontId="39" numFmtId="0" xfId="0" applyAlignment="1" applyFont="1">
      <alignment horizontal="left" readingOrder="0" shrinkToFit="0" wrapText="0"/>
    </xf>
    <xf borderId="0" fillId="6" fontId="40" numFmtId="0" xfId="0" applyAlignment="1" applyFont="1">
      <alignment horizontal="left" readingOrder="0" shrinkToFit="0" wrapText="0"/>
    </xf>
    <xf borderId="0" fillId="6" fontId="41" numFmtId="0" xfId="0" applyAlignment="1" applyFont="1">
      <alignment horizontal="center" readingOrder="0"/>
    </xf>
    <xf borderId="0" fillId="6" fontId="42" numFmtId="0" xfId="0" applyAlignment="1" applyFont="1">
      <alignment horizontal="center" readingOrder="0"/>
    </xf>
    <xf borderId="0" fillId="6" fontId="43" numFmtId="0" xfId="0" applyAlignment="1" applyFont="1">
      <alignment horizontal="center" readingOrder="0"/>
    </xf>
    <xf borderId="0" fillId="6" fontId="44" numFmtId="0" xfId="0" applyAlignment="1" applyFont="1">
      <alignment horizontal="center" readingOrder="0"/>
    </xf>
    <xf borderId="0" fillId="16" fontId="45" numFmtId="0" xfId="0" applyAlignment="1" applyFill="1" applyFont="1">
      <alignment horizontal="left" readingOrder="0" shrinkToFit="0" wrapText="0"/>
    </xf>
    <xf borderId="0" fillId="16" fontId="40" numFmtId="0" xfId="0" applyAlignment="1" applyFont="1">
      <alignment horizontal="left" readingOrder="0" shrinkToFit="0" wrapText="0"/>
    </xf>
    <xf borderId="0" fillId="16" fontId="41" numFmtId="0" xfId="0" applyAlignment="1" applyFont="1">
      <alignment horizontal="center" readingOrder="0"/>
    </xf>
    <xf borderId="0" fillId="16" fontId="46" numFmtId="0" xfId="0" applyAlignment="1" applyFont="1">
      <alignment horizontal="left" readingOrder="0" shrinkToFit="0" vertical="top" wrapText="0"/>
    </xf>
    <xf borderId="0" fillId="16" fontId="47" numFmtId="0" xfId="0" applyAlignment="1" applyFont="1">
      <alignment horizontal="left" readingOrder="0" shrinkToFit="0" wrapText="0"/>
    </xf>
    <xf borderId="0" fillId="16" fontId="48" numFmtId="0" xfId="0" applyAlignment="1" applyFont="1">
      <alignment horizontal="center" readingOrder="0" shrinkToFit="0" vertical="center" wrapText="1"/>
    </xf>
    <xf borderId="0" fillId="16" fontId="49" numFmtId="0" xfId="0" applyAlignment="1" applyFont="1">
      <alignment horizontal="left" readingOrder="0" shrinkToFit="0" vertical="top" wrapText="0"/>
    </xf>
    <xf borderId="0" fillId="16" fontId="50" numFmtId="0" xfId="0" applyAlignment="1" applyFont="1">
      <alignment horizontal="center" readingOrder="0" shrinkToFit="0" vertical="center" wrapText="1"/>
    </xf>
    <xf borderId="0" fillId="16" fontId="51" numFmtId="0" xfId="0" applyAlignment="1" applyFont="1">
      <alignment horizontal="center" readingOrder="0" shrinkToFit="0" vertical="center" wrapText="1"/>
    </xf>
    <xf borderId="0" fillId="16" fontId="52" numFmtId="0" xfId="0" applyAlignment="1" applyFont="1">
      <alignment horizontal="center" readingOrder="0" shrinkToFit="0" vertical="center" wrapText="1"/>
    </xf>
    <xf borderId="0" fillId="16" fontId="49" numFmtId="0" xfId="0" applyAlignment="1" applyFont="1">
      <alignment horizontal="left" readingOrder="0" shrinkToFit="0" wrapText="0"/>
    </xf>
    <xf borderId="0" fillId="16" fontId="46" numFmtId="0" xfId="0" applyAlignment="1" applyFont="1">
      <alignment horizontal="left" shrinkToFit="0" wrapText="0"/>
    </xf>
    <xf borderId="0" fillId="16" fontId="50" numFmtId="0" xfId="0" applyAlignment="1" applyFont="1">
      <alignment horizontal="left" readingOrder="0" shrinkToFit="0" vertical="center" wrapText="1"/>
    </xf>
    <xf borderId="0" fillId="0" fontId="53" numFmtId="0" xfId="0" applyFont="1"/>
    <xf borderId="0" fillId="0" fontId="53" numFmtId="0" xfId="0" applyAlignment="1" applyFont="1">
      <alignment readingOrder="0"/>
    </xf>
    <xf borderId="0" fillId="7" fontId="54" numFmtId="0" xfId="0" applyAlignment="1" applyFont="1">
      <alignment horizontal="left" readingOrder="0"/>
    </xf>
    <xf borderId="0" fillId="7" fontId="54" numFmtId="0" xfId="0" applyAlignment="1" applyFont="1">
      <alignment horizontal="left" readingOrder="0" shrinkToFit="0" wrapText="1"/>
    </xf>
    <xf borderId="0" fillId="17" fontId="55" numFmtId="0" xfId="0" applyAlignment="1" applyFill="1" applyFont="1">
      <alignment horizontal="center" readingOrder="0" vertical="top"/>
    </xf>
    <xf borderId="0" fillId="17" fontId="55" numFmtId="0" xfId="0" applyAlignment="1" applyFont="1">
      <alignment horizontal="left" readingOrder="0" shrinkToFit="0" vertical="top" wrapText="1"/>
    </xf>
    <xf borderId="0" fillId="0" fontId="56" numFmtId="0" xfId="0" applyAlignment="1" applyFont="1">
      <alignment horizontal="center" readingOrder="0" shrinkToFit="0" vertical="top" wrapText="1"/>
    </xf>
    <xf borderId="0" fillId="17" fontId="55" numFmtId="0" xfId="0" applyAlignment="1" applyFont="1">
      <alignment horizontal="center" readingOrder="0" vertical="center"/>
    </xf>
    <xf borderId="0" fillId="0" fontId="35" numFmtId="0" xfId="0" applyAlignment="1" applyFont="1">
      <alignment horizontal="center" vertical="top"/>
    </xf>
    <xf borderId="0" fillId="0" fontId="9" numFmtId="0" xfId="0" applyAlignment="1" applyFont="1">
      <alignment horizontal="left" readingOrder="0" shrinkToFit="0" vertical="top" wrapText="1"/>
    </xf>
    <xf borderId="0" fillId="7" fontId="57" numFmtId="0" xfId="0" applyAlignment="1" applyFont="1">
      <alignment horizontal="center" readingOrder="0" shrinkToFit="0" vertical="center" wrapText="1"/>
    </xf>
    <xf borderId="0" fillId="0" fontId="9" numFmtId="0" xfId="0" applyAlignment="1" applyFont="1">
      <alignment readingOrder="0" shrinkToFit="0" vertical="top" wrapText="1"/>
    </xf>
    <xf borderId="0" fillId="12" fontId="24" numFmtId="0" xfId="0" applyAlignment="1" applyFont="1">
      <alignment horizontal="center" vertical="center"/>
    </xf>
    <xf borderId="0" fillId="0" fontId="35" numFmtId="0" xfId="0" applyAlignment="1" applyFont="1">
      <alignment horizontal="center" readingOrder="0" vertical="center"/>
    </xf>
    <xf borderId="0" fillId="0" fontId="9" numFmtId="0" xfId="0" applyAlignment="1" applyFont="1">
      <alignment horizontal="center" readingOrder="0" shrinkToFit="0" vertical="top" wrapText="1"/>
    </xf>
    <xf borderId="0" fillId="0" fontId="35" numFmtId="0" xfId="0" applyAlignment="1" applyFont="1">
      <alignment horizontal="center" readingOrder="0" vertical="top"/>
    </xf>
    <xf borderId="0" fillId="0" fontId="58" numFmtId="0" xfId="0" applyAlignment="1" applyFont="1">
      <alignment horizontal="center" readingOrder="0" shrinkToFit="0" vertical="top" wrapText="1"/>
    </xf>
    <xf borderId="0" fillId="13" fontId="24" numFmtId="0" xfId="0" applyAlignment="1" applyFont="1">
      <alignment horizontal="center" vertical="center"/>
    </xf>
    <xf borderId="0" fillId="0" fontId="35" numFmtId="0" xfId="0" applyAlignment="1" applyFont="1">
      <alignment horizontal="center" vertical="center"/>
    </xf>
    <xf borderId="0" fillId="0" fontId="59" numFmtId="0" xfId="0" applyAlignment="1" applyFont="1">
      <alignment horizontal="center" readingOrder="0" shrinkToFit="0" vertical="top" wrapText="1"/>
    </xf>
    <xf borderId="0" fillId="14" fontId="24" numFmtId="0" xfId="0" applyAlignment="1" applyFont="1">
      <alignment horizontal="center" vertical="center"/>
    </xf>
    <xf borderId="0" fillId="15" fontId="24" numFmtId="0" xfId="0" applyAlignment="1" applyFont="1">
      <alignment horizontal="center" vertical="center"/>
    </xf>
    <xf borderId="0" fillId="7" fontId="60" numFmtId="0" xfId="0" applyAlignment="1" applyFont="1">
      <alignment horizontal="center" readingOrder="0" shrinkToFit="0" vertical="center" wrapText="1"/>
    </xf>
    <xf borderId="36" fillId="0" fontId="34" numFmtId="0" xfId="0" applyAlignment="1" applyBorder="1" applyFont="1">
      <alignment horizontal="left" readingOrder="0" vertical="center"/>
    </xf>
    <xf borderId="29" fillId="0" fontId="35" numFmtId="0" xfId="0" applyBorder="1" applyFont="1"/>
    <xf borderId="30" fillId="0" fontId="36" numFmtId="0" xfId="0" applyAlignment="1" applyBorder="1" applyFont="1">
      <alignment horizontal="center" readingOrder="0" vertical="center"/>
    </xf>
    <xf borderId="29" fillId="0" fontId="35" numFmtId="0" xfId="0" applyAlignment="1" applyBorder="1" applyFont="1">
      <alignment horizontal="center" vertical="center"/>
    </xf>
    <xf borderId="0" fillId="0" fontId="35" numFmtId="1" xfId="0" applyAlignment="1" applyFont="1" applyNumberFormat="1">
      <alignment horizontal="center" vertical="center"/>
    </xf>
    <xf borderId="0" fillId="0" fontId="35" numFmtId="3" xfId="0" applyAlignment="1" applyFont="1" applyNumberFormat="1">
      <alignment horizontal="center" vertical="center"/>
    </xf>
    <xf borderId="37" fillId="0" fontId="34" numFmtId="0" xfId="0" applyAlignment="1" applyBorder="1" applyFont="1">
      <alignment readingOrder="0" vertical="center"/>
    </xf>
    <xf borderId="32" fillId="0" fontId="24" numFmtId="0" xfId="0" applyAlignment="1" applyBorder="1" applyFont="1">
      <alignment horizontal="center" readingOrder="0" shrinkToFit="0" vertical="center" wrapText="0"/>
    </xf>
    <xf borderId="38" fillId="0" fontId="34" numFmtId="0" xfId="0" applyAlignment="1" applyBorder="1" applyFont="1">
      <alignment readingOrder="0" vertical="center"/>
    </xf>
    <xf borderId="34" fillId="0" fontId="35" numFmtId="0" xfId="0" applyBorder="1" applyFont="1"/>
    <xf borderId="35" fillId="0" fontId="24" numFmtId="0" xfId="0" applyAlignment="1" applyBorder="1" applyFont="1">
      <alignment horizontal="center" readingOrder="0" shrinkToFit="0" vertical="center" wrapText="0"/>
    </xf>
    <xf borderId="34" fillId="0" fontId="35" numFmtId="0" xfId="0" applyAlignment="1" applyBorder="1" applyFont="1">
      <alignment horizontal="center" vertical="center"/>
    </xf>
    <xf borderId="0" fillId="0" fontId="35" numFmtId="0" xfId="0" applyAlignment="1" applyFont="1">
      <alignment readingOrder="0"/>
    </xf>
  </cellXfs>
  <cellStyles count="1">
    <cellStyle xfId="0" name="Normal" builtinId="0"/>
  </cellStyles>
  <dxfs count="11">
    <dxf>
      <font/>
      <fill>
        <patternFill patternType="none"/>
      </fill>
      <border/>
    </dxf>
    <dxf>
      <font>
        <color rgb="FFB7B7B7"/>
      </font>
      <fill>
        <patternFill patternType="solid">
          <fgColor rgb="FFFFFFFF"/>
          <bgColor rgb="FFFFFFFF"/>
        </patternFill>
      </fill>
      <border/>
    </dxf>
    <dxf>
      <font>
        <b/>
        <color rgb="FFFF0000"/>
      </font>
      <fill>
        <patternFill patternType="solid">
          <fgColor rgb="FFFBE6C9"/>
          <bgColor rgb="FFFBE6C9"/>
        </patternFill>
      </fill>
      <border/>
    </dxf>
    <dxf>
      <font/>
      <fill>
        <patternFill patternType="solid">
          <fgColor rgb="FFF3F3F3"/>
          <bgColor rgb="FFF3F3F3"/>
        </patternFill>
      </fill>
      <border/>
    </dxf>
    <dxf>
      <font>
        <color rgb="FFFFFFFF"/>
      </font>
      <fill>
        <patternFill patternType="solid">
          <fgColor rgb="FFFFFFFF"/>
          <bgColor rgb="FFFFFFFF"/>
        </patternFill>
      </fill>
      <border/>
    </dxf>
    <dxf>
      <font/>
      <fill>
        <patternFill patternType="solid">
          <fgColor rgb="FF6ACED8"/>
          <bgColor rgb="FF6ACED8"/>
        </patternFill>
      </fill>
      <border/>
    </dxf>
    <dxf>
      <font/>
      <fill>
        <patternFill patternType="solid">
          <fgColor rgb="FFCC6BFF"/>
          <bgColor rgb="FFCC6BFF"/>
        </patternFill>
      </fill>
      <border/>
    </dxf>
    <dxf>
      <font/>
      <fill>
        <patternFill patternType="solid">
          <fgColor rgb="FFFFC000"/>
          <bgColor rgb="FFFFC000"/>
        </patternFill>
      </fill>
      <border/>
    </dxf>
    <dxf>
      <font/>
      <fill>
        <patternFill patternType="solid">
          <fgColor rgb="FFF6BBBF"/>
          <bgColor rgb="FFF6BBBF"/>
        </patternFill>
      </fill>
      <border/>
    </dxf>
    <dxf>
      <font>
        <color rgb="FFFFFFFF"/>
      </font>
      <fill>
        <patternFill patternType="solid">
          <fgColor rgb="FF000000"/>
          <bgColor rgb="FF000000"/>
        </patternFill>
      </fill>
      <border/>
    </dxf>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chemeClr val="dk1"/>
                </a:solidFill>
                <a:latin typeface="+mn-lt"/>
              </a:defRPr>
            </a:pPr>
            <a:r>
              <a:rPr b="1">
                <a:solidFill>
                  <a:schemeClr val="dk1"/>
                </a:solidFill>
                <a:latin typeface="+mn-lt"/>
              </a:rPr>
              <a:t>Activity type</a:t>
            </a:r>
          </a:p>
        </c:rich>
      </c:tx>
      <c:overlay val="0"/>
    </c:title>
    <c:plotArea>
      <c:layout/>
      <c:barChart>
        <c:barDir val="col"/>
        <c:grouping val="stacked"/>
        <c:ser>
          <c:idx val="0"/>
          <c:order val="0"/>
          <c:tx>
            <c:strRef>
              <c:f>'Chart helper'!$J$1</c:f>
            </c:strRef>
          </c:tx>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'Chart helper'!$I$2:$I$3</c:f>
            </c:strRef>
          </c:cat>
          <c:val>
            <c:numRef>
              <c:f>'Chart helper'!$J$2:$J$3</c:f>
              <c:numCache/>
            </c:numRef>
          </c:val>
        </c:ser>
        <c:ser>
          <c:idx val="1"/>
          <c:order val="1"/>
          <c:tx>
            <c:strRef>
              <c:f>'Chart helper'!$K$1</c:f>
            </c:strRef>
          </c:tx>
          <c:spPr>
            <a:solidFill>
              <a:schemeClr val="accent2"/>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'Chart helper'!$I$2:$I$3</c:f>
            </c:strRef>
          </c:cat>
          <c:val>
            <c:numRef>
              <c:f>'Chart helper'!$K$2:$K$3</c:f>
              <c:numCache/>
            </c:numRef>
          </c:val>
        </c:ser>
        <c:ser>
          <c:idx val="2"/>
          <c:order val="2"/>
          <c:tx>
            <c:strRef>
              <c:f>'Chart helper'!$L$1</c:f>
            </c:strRef>
          </c:tx>
          <c:cat>
            <c:strRef>
              <c:f>'Chart helper'!$I$2:$I$3</c:f>
            </c:strRef>
          </c:cat>
          <c:val>
            <c:numRef>
              <c:f>'Chart helper'!$L$2:$L$3</c:f>
              <c:numCache/>
            </c:numRef>
          </c:val>
        </c:ser>
        <c:ser>
          <c:idx val="3"/>
          <c:order val="3"/>
          <c:tx>
            <c:strRef>
              <c:f>'Chart helper'!$M$1</c:f>
            </c:strRef>
          </c:tx>
          <c:cat>
            <c:strRef>
              <c:f>'Chart helper'!$I$2:$I$3</c:f>
            </c:strRef>
          </c:cat>
          <c:val>
            <c:numRef>
              <c:f>'Chart helper'!$M$2:$M$3</c:f>
              <c:numCache/>
            </c:numRef>
          </c:val>
        </c:ser>
        <c:overlap val="100"/>
        <c:axId val="47635239"/>
        <c:axId val="1250865412"/>
      </c:barChart>
      <c:catAx>
        <c:axId val="4763523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250865412"/>
      </c:catAx>
      <c:valAx>
        <c:axId val="125086541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47635239"/>
      </c:valAx>
    </c:plotArea>
    <c:legend>
      <c:legendPos val="r"/>
      <c:overlay val="0"/>
      <c:txPr>
        <a:bodyPr/>
        <a:lstStyle/>
        <a:p>
          <a:pPr lvl="0">
            <a:defRPr b="0">
              <a:solidFill>
                <a:srgbClr val="1A1A1A"/>
              </a:solidFill>
              <a:latin typeface="+mn-lt"/>
            </a:defRPr>
          </a:pPr>
        </a:p>
      </c:txPr>
    </c:legend>
    <c:plotVisOnly val="1"/>
  </c:chart>
</c:chartSpace>
</file>

<file path=xl/drawings/_rels/drawing4.xml.rels><?xml version="1.0" encoding="UTF-8" standalone="yes"?><Relationships xmlns="http://schemas.openxmlformats.org/package/2006/relationships"><Relationship Id="rId1" Type="http://schemas.openxmlformats.org/officeDocument/2006/relationships/image" Target="../media/Chart1.png"/><Relationship Id="rId2" Type="http://schemas.openxmlformats.org/officeDocument/2006/relationships/image" Target="../media/Chart2.png"/></Relationships>
</file>

<file path=xl/drawings/_rels/drawing6.xml.rels><?xml version="1.0" encoding="UTF-8" standalone="yes"?><Relationships xmlns="http://schemas.openxmlformats.org/package/2006/relationships"><Relationship Id="rId1" Type="http://schemas.openxmlformats.org/officeDocument/2006/relationships/image" Target="../media/Chart1.png"/><Relationship Id="rId2" Type="http://schemas.openxmlformats.org/officeDocument/2006/relationships/image" Target="../media/Chart2.png"/><Relationship Id="rId3"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657225</xdr:colOff>
      <xdr:row>2</xdr:row>
      <xdr:rowOff>123825</xdr:rowOff>
    </xdr:from>
    <xdr:ext cx="4343400" cy="2981325"/>
    <xdr:pic>
      <xdr:nvPicPr>
        <xdr:cNvPr id="1809712769" name="Chart1"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4562475</xdr:colOff>
      <xdr:row>3</xdr:row>
      <xdr:rowOff>0</xdr:rowOff>
    </xdr:from>
    <xdr:ext cx="3686175" cy="2981325"/>
    <xdr:pic>
      <xdr:nvPicPr>
        <xdr:cNvPr id="447134347" name="Chart2"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304800</xdr:colOff>
      <xdr:row>8</xdr:row>
      <xdr:rowOff>123825</xdr:rowOff>
    </xdr:from>
    <xdr:ext cx="4343400" cy="2981325"/>
    <xdr:pic>
      <xdr:nvPicPr>
        <xdr:cNvPr id="1600437298" name="Chart3"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285750</xdr:colOff>
      <xdr:row>8</xdr:row>
      <xdr:rowOff>123825</xdr:rowOff>
    </xdr:from>
    <xdr:ext cx="3686175" cy="2981325"/>
    <xdr:pic>
      <xdr:nvPicPr>
        <xdr:cNvPr id="1759184406" name="Chart4"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8</xdr:col>
      <xdr:colOff>257175</xdr:colOff>
      <xdr:row>8</xdr:row>
      <xdr:rowOff>123825</xdr:rowOff>
    </xdr:from>
    <xdr:ext cx="3571875" cy="2981325"/>
    <xdr:graphicFrame>
      <xdr:nvGraphicFramePr>
        <xdr:cNvPr id="5" name="Chart 5" title="Chart"/>
        <xdr:cNvGraphicFramePr/>
      </xdr:nvGraphicFramePr>
      <xdr:xfrm>
        <a:off x="0" y="0"/>
        <a:ext cx="0" cy="0"/>
      </xdr:xfrm>
      <a:graphic>
        <a:graphicData uri="http://schemas.openxmlformats.org/drawingml/2006/chart">
          <c:chart r:id="rId3"/>
        </a:graphicData>
      </a:graphic>
    </xdr:graphicFrame>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go.gov.sg/dmgbetatutorial" TargetMode="External"/><Relationship Id="rId2" Type="http://schemas.openxmlformats.org/officeDocument/2006/relationships/hyperlink" Target="http://go.gov.sg/edtechps" TargetMode="External"/><Relationship Id="rId3" Type="http://schemas.openxmlformats.org/officeDocument/2006/relationships/hyperlink" Target="http://go.gov.sg/designmapgenerator-feedback."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go.gov.sg/21cc-lgm" TargetMode="External"/><Relationship Id="rId3" Type="http://schemas.openxmlformats.org/officeDocument/2006/relationships/hyperlink" Target="https://go.gov.sg/dltsguide" TargetMode="External"/><Relationship Id="rId4" Type="http://schemas.openxmlformats.org/officeDocument/2006/relationships/hyperlink" Target="https://docs.google.com/presentation/d/1mSuSiKjSDIUQdhs8a_isPsPOOhCtnP-j4SQRvwK2Z6Y/edit" TargetMode="External"/><Relationship Id="rId11" Type="http://schemas.openxmlformats.org/officeDocument/2006/relationships/drawing" Target="../drawings/drawing2.xml"/><Relationship Id="rId10" Type="http://schemas.openxmlformats.org/officeDocument/2006/relationships/hyperlink" Target="https://sites.google.com/moe.edu.sg/guide-to-e-pedagogy/edtech-ps/learning-experiences/key-applications-of-technology-kat?authuser=0" TargetMode="External"/><Relationship Id="rId12" Type="http://schemas.openxmlformats.org/officeDocument/2006/relationships/vmlDrawing" Target="../drawings/vmlDrawing1.vml"/><Relationship Id="rId9" Type="http://schemas.openxmlformats.org/officeDocument/2006/relationships/hyperlink" Target="https://sites.google.com/moe.edu.sg/guide-to-e-pedagogy/edtech-ps/learning-experiences/key-applications-of-technology-kat" TargetMode="External"/><Relationship Id="rId5" Type="http://schemas.openxmlformats.org/officeDocument/2006/relationships/hyperlink" Target="https://sites.google.com/moe.edu.sg/guide-to-e-pedagogy/edtech-ps/learning-experiences/e-pedagogy-learning-experiences?authuser=0" TargetMode="External"/><Relationship Id="rId6" Type="http://schemas.openxmlformats.org/officeDocument/2006/relationships/hyperlink" Target="https://sites.google.com/moe.edu.sg/guide-to-e-pedagogy/edtech-ps/learning-experiences/active-learning-processes?authuser=0" TargetMode="External"/><Relationship Id="rId7" Type="http://schemas.openxmlformats.org/officeDocument/2006/relationships/hyperlink" Target="https://sites.google.com/moe.edu.sg/guide-to-e-pedagogy/edtech-ps/learning-experiences/learning-modes" TargetMode="External"/><Relationship Id="rId8" Type="http://schemas.openxmlformats.org/officeDocument/2006/relationships/hyperlink" Target="https://sites.google.com/moe.edu.sg/guide-to-e-pedagogy/edtech-ps/learning-experiences/learning-modes"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sites.google.com/moe.edu.sg/guide-to-e-pedagogy/edtech-ps/learning-experiences/key-applications-of-technology-kat?authuser=0" TargetMode="External"/><Relationship Id="rId2" Type="http://schemas.openxmlformats.org/officeDocument/2006/relationships/hyperlink" Target="https://go.gov.sg/edtechps" TargetMode="External"/><Relationship Id="rId3" Type="http://schemas.openxmlformats.org/officeDocument/2006/relationships/hyperlink" Target="https://go.gov.sg/epedagogyguide" TargetMode="Externa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imgur.com/OKELOmE" TargetMode="External"/><Relationship Id="rId2" Type="http://schemas.openxmlformats.org/officeDocument/2006/relationships/hyperlink" Target="https://imgur.com/GcMDdyp" TargetMode="External"/><Relationship Id="rId3" Type="http://schemas.openxmlformats.org/officeDocument/2006/relationships/hyperlink" Target="https://imgur.com/I6filTP" TargetMode="External"/><Relationship Id="rId4" Type="http://schemas.openxmlformats.org/officeDocument/2006/relationships/hyperlink" Target="https://imgur.com/B5AW0KZ" TargetMode="External"/><Relationship Id="rId9" Type="http://schemas.openxmlformats.org/officeDocument/2006/relationships/drawing" Target="../drawings/drawing5.xml"/><Relationship Id="rId5" Type="http://schemas.openxmlformats.org/officeDocument/2006/relationships/hyperlink" Target="https://imgur.com/PuEv8Mx" TargetMode="External"/><Relationship Id="rId6" Type="http://schemas.openxmlformats.org/officeDocument/2006/relationships/hyperlink" Target="https://imgur.com/1PLHk6i.png" TargetMode="External"/><Relationship Id="rId7" Type="http://schemas.openxmlformats.org/officeDocument/2006/relationships/hyperlink" Target="https://imgur.com/nL9ecjp" TargetMode="External"/><Relationship Id="rId8" Type="http://schemas.openxmlformats.org/officeDocument/2006/relationships/hyperlink" Target="https://imgur.com/1N0vwh1"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0.13"/>
  </cols>
  <sheetData>
    <row r="1" ht="37.5" customHeight="1">
      <c r="A1" s="1" t="s">
        <v>0</v>
      </c>
    </row>
    <row r="2" ht="100.5" customHeight="1">
      <c r="A2" s="2" t="s">
        <v>1</v>
      </c>
    </row>
    <row r="3" ht="37.5" customHeight="1">
      <c r="A3" s="3" t="s">
        <v>2</v>
      </c>
    </row>
    <row r="4" ht="48.0" customHeight="1">
      <c r="A4" s="4" t="s">
        <v>3</v>
      </c>
    </row>
    <row r="5" ht="37.5" customHeight="1">
      <c r="A5" s="3" t="s">
        <v>4</v>
      </c>
    </row>
    <row r="6" ht="37.5" customHeight="1">
      <c r="A6" s="5" t="s">
        <v>5</v>
      </c>
    </row>
  </sheetData>
  <hyperlinks>
    <hyperlink r:id="rId1" ref="A3"/>
    <hyperlink r:id="rId2" ref="A4"/>
    <hyperlink r:id="rId3" ref="A5"/>
  </hyperlinks>
  <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5"/>
    <col customWidth="1" min="2" max="3" width="25.13"/>
    <col customWidth="1" min="4" max="4" width="40.63"/>
    <col customWidth="1" min="5" max="5" width="19.0"/>
    <col customWidth="1" hidden="1" min="6" max="6" width="13.13"/>
    <col customWidth="1" hidden="1" min="7" max="7" width="17.25"/>
    <col customWidth="1" min="8" max="8" width="25.13"/>
  </cols>
  <sheetData>
    <row r="1" ht="37.5" customHeight="1">
      <c r="A1" s="6" t="s">
        <v>6</v>
      </c>
      <c r="B1" s="7"/>
      <c r="C1" s="7"/>
      <c r="D1" s="7"/>
      <c r="E1" s="7"/>
      <c r="F1" s="7"/>
      <c r="G1" s="7"/>
      <c r="H1" s="8"/>
    </row>
    <row r="2" ht="15.0" customHeight="1">
      <c r="A2" s="9"/>
      <c r="B2" s="10"/>
      <c r="C2" s="10"/>
      <c r="D2" s="10"/>
      <c r="E2" s="10"/>
      <c r="F2" s="10"/>
      <c r="G2" s="10"/>
      <c r="H2" s="11"/>
    </row>
    <row r="3" ht="30.0" customHeight="1">
      <c r="A3" s="12" t="s">
        <v>7</v>
      </c>
      <c r="B3" s="13"/>
      <c r="C3" s="14"/>
      <c r="D3" s="15"/>
      <c r="E3" s="15"/>
      <c r="F3" s="15"/>
      <c r="G3" s="16"/>
      <c r="H3" s="17"/>
    </row>
    <row r="4" ht="15.0" customHeight="1">
      <c r="A4" s="18"/>
      <c r="B4" s="9"/>
      <c r="C4" s="10"/>
      <c r="D4" s="10"/>
      <c r="E4" s="10"/>
      <c r="F4" s="10"/>
      <c r="G4" s="10"/>
      <c r="H4" s="11"/>
    </row>
    <row r="5" ht="30.0" customHeight="1">
      <c r="A5" s="19" t="s">
        <v>8</v>
      </c>
      <c r="B5" s="20"/>
      <c r="C5" s="14"/>
      <c r="D5" s="15"/>
      <c r="E5" s="15"/>
      <c r="F5" s="15"/>
      <c r="G5" s="16"/>
      <c r="H5" s="17"/>
    </row>
    <row r="6" ht="15.0" customHeight="1">
      <c r="A6" s="9"/>
      <c r="B6" s="10"/>
      <c r="C6" s="10"/>
      <c r="D6" s="10"/>
      <c r="E6" s="10"/>
      <c r="F6" s="10"/>
      <c r="G6" s="10"/>
      <c r="H6" s="11"/>
    </row>
    <row r="7" ht="30.0" customHeight="1">
      <c r="A7" s="21" t="s">
        <v>9</v>
      </c>
      <c r="C7" s="14"/>
      <c r="D7" s="15"/>
      <c r="E7" s="15"/>
      <c r="F7" s="15"/>
      <c r="G7" s="16"/>
      <c r="H7" s="22"/>
    </row>
    <row r="8" ht="15.0" customHeight="1">
      <c r="A8" s="9"/>
      <c r="B8" s="10"/>
      <c r="C8" s="10"/>
      <c r="D8" s="10"/>
      <c r="E8" s="10"/>
      <c r="F8" s="10"/>
      <c r="G8" s="10"/>
      <c r="H8" s="11"/>
    </row>
    <row r="9" ht="30.0" customHeight="1">
      <c r="A9" s="21" t="s">
        <v>10</v>
      </c>
      <c r="C9" s="14"/>
      <c r="D9" s="15"/>
      <c r="E9" s="15"/>
      <c r="F9" s="15"/>
      <c r="G9" s="16"/>
      <c r="H9" s="22"/>
    </row>
    <row r="10" ht="15.0" customHeight="1">
      <c r="A10" s="9"/>
      <c r="B10" s="10"/>
      <c r="C10" s="10"/>
      <c r="D10" s="10"/>
      <c r="E10" s="10"/>
      <c r="F10" s="10"/>
      <c r="G10" s="10"/>
      <c r="H10" s="11"/>
    </row>
    <row r="11" ht="30.0" customHeight="1">
      <c r="A11" s="21" t="s">
        <v>11</v>
      </c>
      <c r="C11" s="23" t="s">
        <v>12</v>
      </c>
      <c r="D11" s="15"/>
      <c r="E11" s="15"/>
      <c r="F11" s="15"/>
      <c r="G11" s="16"/>
      <c r="H11" s="24"/>
    </row>
    <row r="12" ht="15.0" customHeight="1">
      <c r="A12" s="9"/>
      <c r="B12" s="10"/>
      <c r="C12" s="10"/>
      <c r="D12" s="10"/>
      <c r="E12" s="10"/>
      <c r="F12" s="10"/>
      <c r="G12" s="10"/>
      <c r="H12" s="11"/>
    </row>
    <row r="13" ht="30.0" customHeight="1">
      <c r="A13" s="25" t="s">
        <v>13</v>
      </c>
      <c r="C13" s="23" t="s">
        <v>12</v>
      </c>
      <c r="D13" s="15"/>
      <c r="E13" s="15"/>
      <c r="F13" s="15"/>
      <c r="G13" s="16"/>
      <c r="H13" s="24"/>
    </row>
    <row r="14" ht="15.0" customHeight="1">
      <c r="A14" s="9"/>
      <c r="B14" s="10"/>
      <c r="C14" s="10"/>
      <c r="D14" s="10"/>
      <c r="E14" s="10"/>
      <c r="F14" s="10"/>
      <c r="G14" s="10"/>
      <c r="H14" s="11"/>
    </row>
    <row r="15" ht="30.0" customHeight="1">
      <c r="A15" s="26" t="s">
        <v>14</v>
      </c>
      <c r="B15" s="27"/>
      <c r="C15" s="27"/>
      <c r="D15" s="27"/>
      <c r="E15" s="27"/>
      <c r="F15" s="28"/>
      <c r="G15" s="29" t="s">
        <v>15</v>
      </c>
      <c r="H15" s="30"/>
    </row>
    <row r="16" ht="30.0" customHeight="1">
      <c r="A16" s="31" t="s">
        <v>16</v>
      </c>
      <c r="B16" s="32" t="s">
        <v>17</v>
      </c>
      <c r="C16" s="33"/>
      <c r="D16" s="31" t="s">
        <v>18</v>
      </c>
      <c r="E16" s="32" t="s">
        <v>19</v>
      </c>
      <c r="F16" s="33"/>
      <c r="G16" s="34"/>
      <c r="H16" s="35"/>
    </row>
    <row r="17" ht="30.0" customHeight="1">
      <c r="A17" s="36" t="s">
        <v>20</v>
      </c>
      <c r="B17" s="15"/>
      <c r="C17" s="15"/>
      <c r="D17" s="15"/>
      <c r="E17" s="15"/>
      <c r="F17" s="15"/>
      <c r="G17" s="15"/>
      <c r="H17" s="16"/>
    </row>
    <row r="18" ht="56.25" customHeight="1">
      <c r="A18" s="37"/>
      <c r="B18" s="38" t="s">
        <v>21</v>
      </c>
      <c r="C18" s="33"/>
      <c r="D18" s="39" t="s">
        <v>22</v>
      </c>
      <c r="E18" s="40" t="s">
        <v>19</v>
      </c>
      <c r="F18" s="33"/>
      <c r="G18" s="40" t="s">
        <v>23</v>
      </c>
      <c r="H18" s="33"/>
    </row>
    <row r="19" ht="46.5" customHeight="1">
      <c r="A19" s="41"/>
      <c r="B19" s="42"/>
      <c r="C19" s="16"/>
      <c r="D19" s="41"/>
      <c r="E19" s="43"/>
      <c r="F19" s="16"/>
      <c r="G19" s="38"/>
      <c r="H19" s="16"/>
    </row>
    <row r="20" ht="36.75" customHeight="1">
      <c r="A20" s="41"/>
      <c r="B20" s="42"/>
      <c r="C20" s="33"/>
      <c r="D20" s="41"/>
      <c r="E20" s="43"/>
      <c r="F20" s="33"/>
      <c r="G20" s="38"/>
      <c r="H20" s="33"/>
    </row>
    <row r="21" ht="39.0" customHeight="1">
      <c r="A21" s="41"/>
      <c r="B21" s="42"/>
      <c r="C21" s="16"/>
      <c r="D21" s="41"/>
      <c r="E21" s="43"/>
      <c r="F21" s="16"/>
      <c r="G21" s="38"/>
      <c r="H21" s="16"/>
    </row>
    <row r="22" ht="43.5" customHeight="1">
      <c r="A22" s="44"/>
      <c r="B22" s="42"/>
      <c r="C22" s="33"/>
      <c r="D22" s="41"/>
      <c r="E22" s="43"/>
      <c r="F22" s="33"/>
      <c r="G22" s="38"/>
      <c r="H22" s="33"/>
    </row>
    <row r="23" ht="15.0" customHeight="1">
      <c r="A23" s="18"/>
    </row>
    <row r="24" ht="39.0" customHeight="1">
      <c r="A24" s="45" t="s">
        <v>24</v>
      </c>
      <c r="B24" s="46"/>
      <c r="C24" s="47" t="s">
        <v>25</v>
      </c>
      <c r="D24" s="48"/>
      <c r="E24" s="48"/>
      <c r="F24" s="48"/>
      <c r="G24" s="48"/>
      <c r="H24" s="33"/>
    </row>
    <row r="25" ht="15.0" customHeight="1">
      <c r="A25" s="18"/>
    </row>
    <row r="26" ht="37.5" customHeight="1">
      <c r="A26" s="49" t="s">
        <v>26</v>
      </c>
      <c r="B26" s="48"/>
      <c r="C26" s="48"/>
      <c r="D26" s="48"/>
      <c r="E26" s="48"/>
      <c r="F26" s="48"/>
      <c r="G26" s="48"/>
      <c r="H26" s="33"/>
    </row>
    <row r="27">
      <c r="A27" s="50" t="s">
        <v>16</v>
      </c>
      <c r="B27" s="51" t="s">
        <v>27</v>
      </c>
      <c r="C27" s="52" t="s">
        <v>28</v>
      </c>
      <c r="D27" s="53" t="s">
        <v>29</v>
      </c>
      <c r="E27" s="54" t="s">
        <v>30</v>
      </c>
      <c r="F27" s="55" t="s">
        <v>31</v>
      </c>
      <c r="G27" s="56" t="s">
        <v>32</v>
      </c>
      <c r="H27" s="57" t="s">
        <v>33</v>
      </c>
    </row>
    <row r="28" ht="45.75" customHeight="1">
      <c r="A28" s="58" t="s">
        <v>34</v>
      </c>
      <c r="E28" s="59">
        <f>sum(E29:E43)</f>
        <v>25</v>
      </c>
      <c r="F28" s="58"/>
      <c r="G28" s="58"/>
      <c r="H28" s="58"/>
    </row>
    <row r="29" ht="84.0" customHeight="1">
      <c r="A29" s="60">
        <v>1.0</v>
      </c>
      <c r="B29" s="60" t="s">
        <v>35</v>
      </c>
      <c r="C29" s="60"/>
      <c r="D29" s="61" t="s">
        <v>36</v>
      </c>
      <c r="E29" s="61">
        <v>25.0</v>
      </c>
      <c r="F29" s="60"/>
      <c r="G29" s="60"/>
      <c r="H29" s="60" t="s">
        <v>37</v>
      </c>
    </row>
    <row r="30" ht="84.0" customHeight="1">
      <c r="A30" s="62">
        <v>2.0</v>
      </c>
      <c r="B30" s="62"/>
      <c r="C30" s="62"/>
      <c r="D30" s="63" t="s">
        <v>36</v>
      </c>
      <c r="E30" s="63"/>
      <c r="F30" s="62"/>
      <c r="G30" s="62"/>
      <c r="H30" s="62"/>
    </row>
    <row r="31" ht="84.0" customHeight="1">
      <c r="A31" s="60">
        <v>3.0</v>
      </c>
      <c r="B31" s="60"/>
      <c r="C31" s="60"/>
      <c r="D31" s="61" t="s">
        <v>36</v>
      </c>
      <c r="E31" s="61"/>
      <c r="F31" s="64"/>
      <c r="G31" s="64"/>
      <c r="H31" s="64"/>
    </row>
    <row r="32" ht="84.0" customHeight="1">
      <c r="A32" s="62">
        <v>4.0</v>
      </c>
      <c r="B32" s="62"/>
      <c r="C32" s="62"/>
      <c r="D32" s="63" t="s">
        <v>36</v>
      </c>
      <c r="E32" s="63"/>
      <c r="F32" s="65"/>
      <c r="G32" s="65"/>
      <c r="H32" s="65"/>
    </row>
    <row r="33" ht="84.0" customHeight="1">
      <c r="A33" s="60">
        <v>5.0</v>
      </c>
      <c r="B33" s="60"/>
      <c r="C33" s="60"/>
      <c r="D33" s="61" t="s">
        <v>36</v>
      </c>
      <c r="E33" s="61"/>
      <c r="F33" s="64"/>
      <c r="G33" s="64"/>
      <c r="H33" s="64"/>
    </row>
    <row r="34" ht="84.0" customHeight="1">
      <c r="A34" s="62">
        <v>6.0</v>
      </c>
      <c r="B34" s="62"/>
      <c r="C34" s="62"/>
      <c r="D34" s="63" t="s">
        <v>36</v>
      </c>
      <c r="E34" s="63"/>
      <c r="F34" s="65"/>
      <c r="G34" s="65"/>
      <c r="H34" s="65"/>
    </row>
    <row r="35" ht="84.0" customHeight="1">
      <c r="A35" s="60">
        <v>7.0</v>
      </c>
      <c r="B35" s="64"/>
      <c r="C35" s="60"/>
      <c r="D35" s="61" t="s">
        <v>36</v>
      </c>
      <c r="E35" s="61"/>
      <c r="F35" s="64"/>
      <c r="G35" s="64"/>
      <c r="H35" s="64"/>
    </row>
    <row r="36" ht="84.0" customHeight="1">
      <c r="A36" s="62">
        <v>8.0</v>
      </c>
      <c r="B36" s="62"/>
      <c r="C36" s="62"/>
      <c r="D36" s="63" t="s">
        <v>36</v>
      </c>
      <c r="E36" s="63"/>
      <c r="F36" s="63"/>
      <c r="G36" s="63"/>
      <c r="H36" s="63"/>
    </row>
    <row r="37" ht="84.0" customHeight="1">
      <c r="A37" s="60">
        <v>9.0</v>
      </c>
      <c r="B37" s="60"/>
      <c r="C37" s="60"/>
      <c r="D37" s="61" t="s">
        <v>36</v>
      </c>
      <c r="E37" s="61"/>
      <c r="F37" s="61"/>
      <c r="G37" s="61"/>
      <c r="H37" s="61"/>
    </row>
    <row r="38" ht="84.0" customHeight="1">
      <c r="A38" s="62">
        <v>10.0</v>
      </c>
      <c r="B38" s="62"/>
      <c r="C38" s="62"/>
      <c r="D38" s="63" t="s">
        <v>36</v>
      </c>
      <c r="E38" s="63"/>
      <c r="F38" s="63"/>
      <c r="G38" s="63"/>
      <c r="H38" s="63"/>
    </row>
    <row r="39" ht="84.0" customHeight="1">
      <c r="A39" s="60">
        <v>11.0</v>
      </c>
      <c r="B39" s="60"/>
      <c r="C39" s="60"/>
      <c r="D39" s="61" t="s">
        <v>36</v>
      </c>
      <c r="E39" s="61"/>
      <c r="F39" s="61"/>
      <c r="G39" s="61"/>
      <c r="H39" s="61"/>
    </row>
    <row r="40" ht="84.0" customHeight="1">
      <c r="A40" s="62">
        <v>12.0</v>
      </c>
      <c r="B40" s="62"/>
      <c r="C40" s="62"/>
      <c r="D40" s="63" t="s">
        <v>36</v>
      </c>
      <c r="E40" s="63"/>
      <c r="F40" s="63"/>
      <c r="G40" s="63"/>
      <c r="H40" s="63"/>
    </row>
    <row r="41" ht="84.0" customHeight="1">
      <c r="A41" s="60">
        <v>13.0</v>
      </c>
      <c r="B41" s="60"/>
      <c r="C41" s="60"/>
      <c r="D41" s="61" t="s">
        <v>36</v>
      </c>
      <c r="E41" s="61"/>
      <c r="F41" s="61"/>
      <c r="G41" s="61"/>
      <c r="H41" s="61"/>
    </row>
    <row r="42" ht="84.0" customHeight="1">
      <c r="A42" s="62">
        <v>14.0</v>
      </c>
      <c r="B42" s="62"/>
      <c r="C42" s="62"/>
      <c r="D42" s="63" t="s">
        <v>36</v>
      </c>
      <c r="E42" s="63"/>
      <c r="F42" s="63"/>
      <c r="G42" s="63"/>
      <c r="H42" s="63"/>
    </row>
    <row r="43" ht="84.0" customHeight="1">
      <c r="A43" s="66">
        <v>15.0</v>
      </c>
      <c r="B43" s="60"/>
      <c r="C43" s="60"/>
      <c r="D43" s="61" t="s">
        <v>36</v>
      </c>
      <c r="E43" s="61"/>
      <c r="F43" s="61"/>
      <c r="G43" s="61"/>
      <c r="H43" s="61"/>
    </row>
    <row r="44" ht="15.0" customHeight="1">
      <c r="A44" s="67"/>
      <c r="B44" s="68"/>
      <c r="C44" s="46"/>
      <c r="D44" s="46"/>
      <c r="E44" s="46"/>
      <c r="F44" s="46"/>
      <c r="G44" s="46"/>
      <c r="H44" s="69"/>
    </row>
    <row r="45" ht="40.5" customHeight="1">
      <c r="A45" s="70"/>
      <c r="B45" s="71" t="s">
        <v>38</v>
      </c>
      <c r="C45" s="47" t="s">
        <v>12</v>
      </c>
      <c r="D45" s="15"/>
      <c r="E45" s="15"/>
      <c r="F45" s="15"/>
      <c r="G45" s="15"/>
      <c r="H45" s="16"/>
    </row>
    <row r="46" ht="15.0" customHeight="1">
      <c r="A46" s="72"/>
      <c r="B46" s="73"/>
      <c r="C46" s="74"/>
      <c r="D46" s="74"/>
      <c r="E46" s="74"/>
      <c r="F46" s="74"/>
      <c r="G46" s="74"/>
      <c r="H46" s="75"/>
    </row>
  </sheetData>
  <mergeCells count="49">
    <mergeCell ref="A26:H26"/>
    <mergeCell ref="A28:D28"/>
    <mergeCell ref="B44:H44"/>
    <mergeCell ref="C45:H45"/>
    <mergeCell ref="B46:H46"/>
    <mergeCell ref="B22:C22"/>
    <mergeCell ref="E22:F22"/>
    <mergeCell ref="G22:H22"/>
    <mergeCell ref="A23:H23"/>
    <mergeCell ref="A24:B24"/>
    <mergeCell ref="C24:H24"/>
    <mergeCell ref="A25:H25"/>
    <mergeCell ref="A5:B5"/>
    <mergeCell ref="A7:B7"/>
    <mergeCell ref="A9:B9"/>
    <mergeCell ref="A11:B11"/>
    <mergeCell ref="A13:B13"/>
    <mergeCell ref="A1:H1"/>
    <mergeCell ref="A2:H2"/>
    <mergeCell ref="A3:B3"/>
    <mergeCell ref="C3:G3"/>
    <mergeCell ref="B4:H4"/>
    <mergeCell ref="C5:G5"/>
    <mergeCell ref="A6:H6"/>
    <mergeCell ref="C7:G7"/>
    <mergeCell ref="A8:H8"/>
    <mergeCell ref="C9:G9"/>
    <mergeCell ref="A10:H10"/>
    <mergeCell ref="C11:G11"/>
    <mergeCell ref="A12:H12"/>
    <mergeCell ref="C13:G13"/>
    <mergeCell ref="E18:F18"/>
    <mergeCell ref="G18:H18"/>
    <mergeCell ref="A14:H14"/>
    <mergeCell ref="A15:F15"/>
    <mergeCell ref="G15:H16"/>
    <mergeCell ref="B16:C16"/>
    <mergeCell ref="E16:F16"/>
    <mergeCell ref="A17:H17"/>
    <mergeCell ref="B18:C18"/>
    <mergeCell ref="E21:F21"/>
    <mergeCell ref="G21:H21"/>
    <mergeCell ref="B19:C19"/>
    <mergeCell ref="E19:F19"/>
    <mergeCell ref="G19:H19"/>
    <mergeCell ref="B20:C20"/>
    <mergeCell ref="E20:F20"/>
    <mergeCell ref="G20:H20"/>
    <mergeCell ref="B21:C21"/>
  </mergeCells>
  <conditionalFormatting sqref="C24:H24 C45:H45">
    <cfRule type="containsText" dxfId="1" priority="1" operator="containsText" text="Optional">
      <formula>NOT(ISERROR(SEARCH(("Optional"),(C24))))</formula>
    </cfRule>
  </conditionalFormatting>
  <conditionalFormatting sqref="E28">
    <cfRule type="cellIs" dxfId="2" priority="2" operator="greaterThan">
      <formula>120</formula>
    </cfRule>
  </conditionalFormatting>
  <dataValidations>
    <dataValidation type="list" allowBlank="1" showErrorMessage="1" sqref="G29:G43">
      <formula1>"Asynchronous,Synchronous"</formula1>
    </dataValidation>
    <dataValidation type="list" allowBlank="1" sqref="C45">
      <formula1>"Replacement,Amplification,Transformation,Optional"</formula1>
    </dataValidation>
    <dataValidation type="list" allowBlank="1" sqref="C24">
      <formula1>"Type of Learning Experience,Acquisition,Collaboration,Discussion,Inquiry,Practice,Production"</formula1>
    </dataValidation>
    <dataValidation type="list" allowBlank="1" showErrorMessage="1" sqref="E29:E43">
      <formula1>LEGEND!$M$2:$M$14</formula1>
    </dataValidation>
    <dataValidation type="list" allowBlank="1" sqref="C29:C43">
      <formula1>"Activate learning,Promote thinking and discussion,Facilitate demonstration of learning,Monitor and provide feedback"</formula1>
    </dataValidation>
    <dataValidation type="list" allowBlank="1" showErrorMessage="1" sqref="F29:F43">
      <formula1>"Virtual,Physical"</formula1>
    </dataValidation>
    <dataValidation type="list" allowBlank="1" showErrorMessage="1" sqref="B29:B43">
      <formula1>LEGEND!$I$2:$I$5</formula1>
    </dataValidation>
    <dataValidation type="list" allowBlank="1" showErrorMessage="1" sqref="H29:H43">
      <formula1>"Support Assessment for Learning,Foster Conceptual Change,Provide Differentiation,Facilitate Learning Together,Develop Metacognition,Enable Personalisation,Embed Scaffolding,Increase Motivation"</formula1>
    </dataValidation>
  </dataValidations>
  <hyperlinks>
    <hyperlink r:id="rId2" ref="D18"/>
    <hyperlink r:id="rId3" ref="E18"/>
    <hyperlink r:id="rId4" ref="G18"/>
    <hyperlink r:id="rId5" ref="A24"/>
    <hyperlink r:id="rId6" ref="C27"/>
    <hyperlink r:id="rId7" ref="F27"/>
    <hyperlink r:id="rId8" ref="G27"/>
    <hyperlink r:id="rId9" ref="H27"/>
    <hyperlink r:id="rId10" ref="B45"/>
  </hyperlinks>
  <drawing r:id="rId11"/>
  <legacyDrawing r:id="rId1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pageSetUpPr fitToPage="1"/>
  </sheetPr>
  <sheetViews>
    <sheetView showGridLines="0" workbookViewId="0"/>
  </sheetViews>
  <sheetFormatPr customHeight="1" defaultColWidth="12.63" defaultRowHeight="15.75" outlineLevelCol="1" outlineLevelRow="1"/>
  <cols>
    <col customWidth="1" hidden="1" min="1" max="1" width="10.0" outlineLevel="1"/>
    <col collapsed="1" customWidth="1" min="2" max="2" width="10.75"/>
    <col customWidth="1" min="3" max="3" width="2.63"/>
    <col customWidth="1" min="4" max="4" width="19.75"/>
    <col customWidth="1" min="5" max="5" width="3.88"/>
    <col customWidth="1" min="6" max="6" width="19.75"/>
    <col customWidth="1" min="7" max="7" width="4.25"/>
    <col customWidth="1" min="8" max="8" width="19.75"/>
    <col customWidth="1" min="9" max="9" width="3.75"/>
    <col customWidth="1" min="10" max="10" width="19.75"/>
    <col customWidth="1" min="11" max="11" width="3.75"/>
    <col customWidth="1" min="12" max="12" width="19.75"/>
    <col customWidth="1" min="13" max="13" width="3.75"/>
    <col customWidth="1" min="14" max="14" width="19.75"/>
    <col customWidth="1" min="15" max="15" width="3.75"/>
    <col customWidth="1" min="16" max="16" width="19.75"/>
    <col customWidth="1" min="17" max="17" width="3.75"/>
    <col customWidth="1" min="18" max="18" width="19.75"/>
    <col customWidth="1" min="19" max="19" width="3.75"/>
    <col customWidth="1" min="20" max="20" width="19.75"/>
    <col customWidth="1" min="21" max="21" width="3.75"/>
    <col customWidth="1" min="22" max="22" width="19.75"/>
    <col customWidth="1" min="23" max="23" width="3.75"/>
    <col customWidth="1" min="24" max="24" width="19.75"/>
    <col customWidth="1" min="25" max="25" width="3.75"/>
    <col customWidth="1" min="26" max="26" width="19.75"/>
    <col customWidth="1" min="27" max="27" width="3.75"/>
    <col customWidth="1" min="28" max="28" width="19.75"/>
    <col customWidth="1" min="29" max="29" width="3.75"/>
    <col customWidth="1" min="30" max="30" width="19.75"/>
    <col customWidth="1" min="31" max="31" width="3.75"/>
    <col customWidth="1" min="32" max="32" width="19.75"/>
    <col customWidth="1" min="33" max="33" width="3.75"/>
  </cols>
  <sheetData>
    <row r="1" ht="14.25" customHeight="1">
      <c r="A1" s="76"/>
      <c r="B1" s="77"/>
      <c r="C1" s="76"/>
      <c r="D1" s="78"/>
      <c r="E1" s="78"/>
      <c r="F1" s="78"/>
      <c r="G1" s="78"/>
      <c r="H1" s="78"/>
      <c r="I1" s="78"/>
      <c r="J1" s="78"/>
      <c r="K1" s="79"/>
      <c r="L1" s="79"/>
      <c r="M1" s="78"/>
      <c r="N1" s="79"/>
      <c r="O1" s="78"/>
      <c r="P1" s="79"/>
      <c r="Q1" s="78"/>
      <c r="R1" s="79"/>
      <c r="S1" s="78"/>
      <c r="T1" s="79"/>
      <c r="U1" s="78"/>
      <c r="V1" s="79"/>
      <c r="W1" s="78"/>
      <c r="X1" s="79"/>
      <c r="Y1" s="78"/>
      <c r="Z1" s="79"/>
      <c r="AA1" s="78"/>
      <c r="AB1" s="79"/>
      <c r="AC1" s="78"/>
      <c r="AD1" s="79"/>
      <c r="AE1" s="78"/>
      <c r="AF1" s="79"/>
      <c r="AG1" s="78"/>
    </row>
    <row r="2" ht="14.25" customHeight="1">
      <c r="A2" s="76"/>
      <c r="B2" s="77"/>
      <c r="C2" s="76"/>
      <c r="D2" s="78"/>
      <c r="E2" s="78"/>
      <c r="F2" s="78"/>
      <c r="G2" s="78"/>
      <c r="H2" s="78"/>
      <c r="I2" s="78"/>
      <c r="J2" s="78"/>
      <c r="K2" s="79"/>
      <c r="L2" s="79"/>
      <c r="M2" s="78"/>
      <c r="N2" s="79"/>
      <c r="O2" s="78"/>
      <c r="P2" s="79"/>
      <c r="Q2" s="78"/>
      <c r="R2" s="79"/>
      <c r="S2" s="78"/>
      <c r="T2" s="79"/>
      <c r="U2" s="78"/>
      <c r="V2" s="79"/>
      <c r="W2" s="78"/>
      <c r="X2" s="79"/>
      <c r="Y2" s="78"/>
      <c r="Z2" s="79"/>
      <c r="AA2" s="78"/>
      <c r="AB2" s="79"/>
      <c r="AC2" s="78"/>
      <c r="AD2" s="79"/>
      <c r="AE2" s="78"/>
      <c r="AF2" s="79"/>
      <c r="AG2" s="78"/>
    </row>
    <row r="3" ht="14.25" customHeight="1">
      <c r="A3" s="76"/>
      <c r="B3" s="77"/>
      <c r="C3" s="76"/>
      <c r="D3" s="78"/>
      <c r="E3" s="78"/>
      <c r="F3" s="78"/>
      <c r="G3" s="78"/>
      <c r="H3" s="78"/>
      <c r="I3" s="78"/>
      <c r="J3" s="78"/>
      <c r="K3" s="79"/>
      <c r="L3" s="79"/>
      <c r="M3" s="78"/>
      <c r="N3" s="79"/>
      <c r="O3" s="78"/>
      <c r="P3" s="79"/>
      <c r="Q3" s="78"/>
      <c r="R3" s="79"/>
      <c r="S3" s="78"/>
      <c r="T3" s="79"/>
      <c r="U3" s="78"/>
      <c r="V3" s="79"/>
      <c r="W3" s="78"/>
      <c r="X3" s="79"/>
      <c r="Y3" s="78"/>
      <c r="Z3" s="79"/>
      <c r="AA3" s="78"/>
      <c r="AB3" s="79"/>
      <c r="AC3" s="78"/>
      <c r="AD3" s="79"/>
      <c r="AE3" s="78"/>
      <c r="AF3" s="79"/>
      <c r="AG3" s="78"/>
    </row>
    <row r="4" ht="14.25" customHeight="1">
      <c r="A4" s="76"/>
      <c r="B4" s="77"/>
      <c r="C4" s="76"/>
      <c r="D4" s="78"/>
      <c r="E4" s="78"/>
      <c r="F4" s="78"/>
      <c r="G4" s="78"/>
      <c r="H4" s="78"/>
      <c r="I4" s="78"/>
      <c r="J4" s="78"/>
      <c r="K4" s="79"/>
      <c r="L4" s="79"/>
      <c r="M4" s="78"/>
      <c r="N4" s="79"/>
      <c r="O4" s="78"/>
      <c r="P4" s="79"/>
      <c r="Q4" s="78"/>
      <c r="R4" s="79"/>
      <c r="S4" s="78"/>
      <c r="T4" s="79"/>
      <c r="U4" s="78"/>
      <c r="V4" s="79"/>
      <c r="W4" s="78"/>
      <c r="X4" s="79"/>
      <c r="Y4" s="78"/>
      <c r="Z4" s="79"/>
      <c r="AA4" s="78"/>
      <c r="AB4" s="79"/>
      <c r="AC4" s="78"/>
      <c r="AD4" s="79"/>
      <c r="AE4" s="78"/>
      <c r="AF4" s="79"/>
      <c r="AG4" s="78"/>
    </row>
    <row r="5" ht="19.5" customHeight="1">
      <c r="A5" s="76"/>
      <c r="B5" s="77" t="s">
        <v>39</v>
      </c>
      <c r="C5" s="76"/>
      <c r="D5" s="78"/>
      <c r="E5" s="78"/>
      <c r="F5" s="78"/>
      <c r="G5" s="78"/>
      <c r="H5" s="78"/>
      <c r="I5" s="78"/>
      <c r="J5" s="78"/>
      <c r="K5" s="79"/>
      <c r="L5" s="79"/>
      <c r="M5" s="78"/>
      <c r="N5" s="79"/>
      <c r="O5" s="78"/>
      <c r="P5" s="79"/>
      <c r="Q5" s="78"/>
      <c r="R5" s="79"/>
      <c r="S5" s="78"/>
      <c r="T5" s="79"/>
      <c r="U5" s="78"/>
      <c r="V5" s="79"/>
      <c r="W5" s="78"/>
      <c r="X5" s="79"/>
      <c r="Y5" s="78"/>
      <c r="Z5" s="79"/>
      <c r="AA5" s="78"/>
      <c r="AB5" s="79"/>
      <c r="AC5" s="78"/>
      <c r="AD5" s="79"/>
      <c r="AE5" s="78"/>
      <c r="AF5" s="79"/>
      <c r="AG5" s="78"/>
    </row>
    <row r="6" ht="24.75" customHeight="1">
      <c r="A6" s="80"/>
      <c r="B6" s="80"/>
      <c r="C6" s="81" t="str">
        <f>IMAGE("https://i.imgur.com/JyBXBWJ.jpeg",2)</f>
        <v>#REF!</v>
      </c>
      <c r="D6" s="82" t="str">
        <f>IF(
LEN(D7)&gt;0,D$54,"")</f>
        <v/>
      </c>
      <c r="E6" s="83" t="str">
        <f>IF(LEN(D6)&gt;0,IMAGE(D$47),"")</f>
        <v/>
      </c>
      <c r="F6" s="82" t="str">
        <f>IF(
LEN(F7)&gt;0,F$54,"")</f>
        <v/>
      </c>
      <c r="G6" s="83" t="str">
        <f>IF(LEN(F6)&gt;0,IMAGE(F$47),"")</f>
        <v/>
      </c>
      <c r="H6" s="82" t="str">
        <f>IF(
LEN(H7)&gt;0,H$54,"")</f>
        <v/>
      </c>
      <c r="I6" s="83" t="str">
        <f>IF(LEN(H6)&gt;0,IMAGE(H$47),"")</f>
        <v/>
      </c>
      <c r="J6" s="82" t="str">
        <f>IF(
LEN(J7)&gt;0,J$54,"")</f>
        <v/>
      </c>
      <c r="K6" s="83" t="str">
        <f>IF(LEN(J6)&gt;0,IMAGE(J$47),"")</f>
        <v/>
      </c>
      <c r="L6" s="82" t="str">
        <f>IF(
LEN(L7)&gt;0,L$54,"")</f>
        <v/>
      </c>
      <c r="M6" s="83" t="str">
        <f>IF(LEN(L6)&gt;0,IMAGE(L$47),"")</f>
        <v/>
      </c>
      <c r="N6" s="82" t="str">
        <f>IF(
LEN(N7)&gt;0,N$54,"")</f>
        <v/>
      </c>
      <c r="O6" s="83" t="str">
        <f>IF(LEN(N6)&gt;0,IMAGE(N$47),"")</f>
        <v/>
      </c>
      <c r="P6" s="82" t="str">
        <f>IF(
LEN(P7)&gt;0,P$54,"")</f>
        <v/>
      </c>
      <c r="Q6" s="83" t="str">
        <f>IF(LEN(P6)&gt;0,IMAGE(P$47),"")</f>
        <v/>
      </c>
      <c r="R6" s="82" t="str">
        <f>IF(
LEN(R7)&gt;0,R$54,"")</f>
        <v/>
      </c>
      <c r="S6" s="83" t="str">
        <f>IF(LEN(R6)&gt;0,IMAGE(R$47),"")</f>
        <v/>
      </c>
      <c r="T6" s="82" t="str">
        <f>IF(
LEN(T7)&gt;0,T$54,"")</f>
        <v/>
      </c>
      <c r="U6" s="83" t="str">
        <f>IF(LEN(T6)&gt;0,IMAGE(T$47),"")</f>
        <v/>
      </c>
      <c r="V6" s="82" t="str">
        <f>IF(
LEN(V7)&gt;0,V$54,"")</f>
        <v/>
      </c>
      <c r="W6" s="83" t="str">
        <f>IF(LEN(V6)&gt;0,IMAGE(V$47),"")</f>
        <v/>
      </c>
      <c r="X6" s="82" t="str">
        <f>IF(
LEN(X7)&gt;0,X$54,"")</f>
        <v/>
      </c>
      <c r="Y6" s="83" t="str">
        <f>IF(LEN(X6)&gt;0,IMAGE(X$47),"")</f>
        <v/>
      </c>
      <c r="Z6" s="82" t="str">
        <f>IF(
LEN(Z7)&gt;0,Z$54,"")</f>
        <v/>
      </c>
      <c r="AA6" s="83" t="str">
        <f>IF(LEN(Z6)&gt;0,IMAGE(Z$47),"")</f>
        <v/>
      </c>
      <c r="AB6" s="82" t="str">
        <f>IF(
LEN(AB7)&gt;0,AB$54,"")</f>
        <v/>
      </c>
      <c r="AC6" s="83" t="str">
        <f>IF(LEN(AB6)&gt;0,IMAGE(AB$47),"")</f>
        <v/>
      </c>
      <c r="AD6" s="82" t="str">
        <f>IF(
LEN(AD7)&gt;0,AD$54,"")</f>
        <v/>
      </c>
      <c r="AE6" s="83" t="str">
        <f>IF(LEN(AD6)&gt;0,IMAGE(AD$47),"")</f>
        <v/>
      </c>
      <c r="AF6" s="82" t="str">
        <f>IF(
LEN(AF7)&gt;0,AF$54,"")</f>
        <v/>
      </c>
      <c r="AG6" s="83" t="str">
        <f>IF(LEN(AF6)&gt;0,IMAGE(AF$47),"")</f>
        <v/>
      </c>
    </row>
    <row r="7" ht="129.75" customHeight="1">
      <c r="A7" s="81">
        <v>3.0</v>
      </c>
      <c r="B7" s="84" t="s">
        <v>40</v>
      </c>
      <c r="D7" s="85" t="str">
        <f>IFERROR(IFS(
LEN(D$51)=0,""
,D$51=$A7,D$52
,LEN(F$51)=0,""
,AND(F$51=$A7, D$51&lt;$A7),image("https://i.imgur.com/xlMPbEe.jpeg",2)
,AND(F$51&lt;$A7, D$51&lt;$A7), ""
),"")</f>
        <v/>
      </c>
      <c r="E7" s="86" t="str">
        <f>IF(LEN(D7)&gt;0,D$46,"")</f>
        <v/>
      </c>
      <c r="F7" s="85" t="str">
        <f>IFERROR(IFS(
LEN(F$51)=0,""
,F$51=$A7,F$52
,LEN(H$51)=0,""
,AND(H$51=$A7, F$51&lt;$A7),image("https://i.imgur.com/xlMPbEe.jpeg",2)
,AND(H$51&lt;$A7, F$51&lt;$A7), ""
),"")</f>
        <v/>
      </c>
      <c r="G7" s="86" t="str">
        <f>IF(LEN(F7)&gt;0,F$46,"")</f>
        <v/>
      </c>
      <c r="H7" s="85" t="str">
        <f>IFERROR(IFS(
LEN(H$51)=0,""
,H$51=$A7,H$52
,LEN(J$51)=0,""
,AND(J$51=$A7, H$51&lt;$A7),image("https://i.imgur.com/xlMPbEe.jpeg",2)
,AND(J$51&lt;$A7, H$51&lt;$A7), ""
),"")</f>
        <v/>
      </c>
      <c r="I7" s="86" t="str">
        <f>IF(LEN(H7)&gt;0,H$46,"")</f>
        <v/>
      </c>
      <c r="J7" s="85" t="str">
        <f>IFERROR(IFS(
LEN(J$51)=0,""
,J$51=$A7,J$52
,LEN(L$51)=0,""
,AND(L$51=$A7, J$51&lt;$A7),image("https://i.imgur.com/xlMPbEe.jpeg",2)
,AND(L$51&lt;$A7, J$51&lt;$A7), ""
),"")</f>
        <v/>
      </c>
      <c r="K7" s="86" t="str">
        <f>IF(LEN(J7)&gt;0,J$46,"")</f>
        <v/>
      </c>
      <c r="L7" s="85" t="str">
        <f>IFERROR(IFS(
LEN(L$51)=0,""
,L$51=$A7,L$52
,LEN(N$51)=0,""
,AND(N$51=$A7, L$51&lt;$A7),image("https://i.imgur.com/xlMPbEe.jpeg",2)
,AND(N$51&lt;$A7, L$51&lt;$A7), ""
),"")</f>
        <v/>
      </c>
      <c r="M7" s="86" t="str">
        <f>IF(LEN(L7)&gt;0,L$46,"")</f>
        <v/>
      </c>
      <c r="N7" s="85" t="str">
        <f>IFERROR(IFS(
LEN(N$51)=0,""
,N$51=$A7,N$52
,LEN(P$51)=0,""
,AND(P$51=$A7, N$51&lt;$A7),image("https://i.imgur.com/xlMPbEe.jpeg",2)
,AND(P$51&lt;$A7, N$51&lt;$A7), ""
),"")</f>
        <v/>
      </c>
      <c r="O7" s="86" t="str">
        <f>IF(LEN(N7)&gt;0,N$46,"")</f>
        <v/>
      </c>
      <c r="P7" s="85" t="str">
        <f>IFERROR(IFS(
LEN(P$51)=0,""
,P$51=$A7,P$52
,LEN(R$51)=0,""
,AND(R$51=$A7, P$51&lt;$A7),image("https://i.imgur.com/xlMPbEe.jpeg",2)
,AND(R$51&lt;$A7, P$51&lt;$A7), ""
),"")</f>
        <v/>
      </c>
      <c r="Q7" s="86" t="str">
        <f>IF(LEN(P7)&gt;0,P$46,"")</f>
        <v/>
      </c>
      <c r="R7" s="85" t="str">
        <f>IFERROR(IFS(
LEN(R$51)=0,""
,R$51=$A7,R$52
,LEN(T$51)=0,""
,AND(T$51=$A7, R$51&lt;$A7),image("https://i.imgur.com/xlMPbEe.jpeg",2)
,AND(T$51&lt;$A7, R$51&lt;$A7), ""
),"")</f>
        <v/>
      </c>
      <c r="S7" s="86" t="str">
        <f>IF(LEN(R7)&gt;0,R$46,"")</f>
        <v/>
      </c>
      <c r="T7" s="85" t="str">
        <f>IFERROR(IFS(
LEN(T$51)=0,""
,T$51=$A7,T$52
,LEN(V$51)=0,""
,AND(V$51=$A7, T$51&lt;$A7),image("https://i.imgur.com/xlMPbEe.jpeg",2)
,AND(V$51&lt;$A7, T$51&lt;$A7), ""
),"")</f>
        <v/>
      </c>
      <c r="U7" s="86" t="str">
        <f>IF(LEN(T7)&gt;0,T$46,"")</f>
        <v/>
      </c>
      <c r="V7" s="85" t="str">
        <f>IFERROR(IFS(
LEN(V$51)=0,""
,V$51=$A7,V$52
,LEN(X$51)=0,""
,AND(X$51=$A7, V$51&lt;$A7),image("https://i.imgur.com/xlMPbEe.jpeg",2)
,AND(X$51&lt;$A7, V$51&lt;$A7), ""
),"")</f>
        <v/>
      </c>
      <c r="W7" s="86" t="str">
        <f>IF(LEN(V7)&gt;0,V$46,"")</f>
        <v/>
      </c>
      <c r="X7" s="85" t="str">
        <f>IFERROR(IFS(
LEN(X$51)=0,""
,X$51=$A7,X$52
,LEN(Z$51)=0,""
,AND(Z$51=$A7, X$51&lt;$A7),image("https://i.imgur.com/xlMPbEe.jpeg",2)
,AND(Z$51&lt;$A7, X$51&lt;$A7), ""
),"")</f>
        <v/>
      </c>
      <c r="Y7" s="86" t="str">
        <f>IF(LEN(X7)&gt;0,X$46,"")</f>
        <v/>
      </c>
      <c r="Z7" s="85" t="str">
        <f>IFERROR(IFS(
LEN(Z$51)=0,""
,Z$51=$A7,Z$52
,LEN(AB$51)=0,""
,AND(AB$51=$A7, Z$51&lt;$A7),image("https://i.imgur.com/xlMPbEe.jpeg",2)
,AND(AB$51&lt;$A7, Z$51&lt;$A7), ""
),"")</f>
        <v/>
      </c>
      <c r="AA7" s="86" t="str">
        <f>IF(LEN(Z7)&gt;0,Z$46,"")</f>
        <v/>
      </c>
      <c r="AB7" s="85" t="str">
        <f>IFERROR(IFS(
LEN(AB$51)=0,""
,AB$51=$A7,AB$52
,LEN(AD$51)=0,""
,AND(AD$51=$A7, AB$51&lt;$A7),image("https://i.imgur.com/xlMPbEe.jpeg",2)
,AND(AD$51&lt;$A7, AB$51&lt;$A7), ""
),"")</f>
        <v/>
      </c>
      <c r="AC7" s="86" t="str">
        <f>IF(LEN(AB7)&gt;0,AB$46,"")</f>
        <v/>
      </c>
      <c r="AD7" s="85" t="str">
        <f>IFERROR(IFS(
LEN(AD$51)=0,""
,AD$51=$A7,AD$52
,LEN(AF$51)=0,""
,AND(AF$51=$A7, AD$51&lt;$A7),image("https://i.imgur.com/xlMPbEe.jpeg",2)
,AND(AF$51&lt;$A7, AD$51&lt;$A7), ""
),"")</f>
        <v/>
      </c>
      <c r="AE7" s="86" t="str">
        <f>IF(LEN(AD7)&gt;0,AD$46,"")</f>
        <v/>
      </c>
      <c r="AF7" s="85" t="str">
        <f>IFERROR(IFS(
LEN(AF$51)=0,""
,AF$51=$A7,AF$52
,LEN(AH$51)=0,""
,AND(AH$51=$A7, AF$51&lt;$A7),image("https://i.imgur.com/xlMPbEe.jpeg",2)
,AND(AH$51&lt;$A7, AF$51&lt;$A7), ""
),"")</f>
        <v/>
      </c>
      <c r="AG7" s="86" t="str">
        <f>IF(LEN(AF7)&gt;0,AF$46,"")</f>
        <v/>
      </c>
    </row>
    <row r="8" ht="24.75" customHeight="1">
      <c r="A8" s="81"/>
      <c r="B8" s="84"/>
      <c r="C8" s="81" t="str">
        <f t="shared" ref="C8:C14" si="1">IMAGE("https://i.imgur.com/d0hkBzm.jpeg",2)</f>
        <v>#REF!</v>
      </c>
      <c r="D8" s="82" t="str">
        <f>iferror(IFS(
LEN(D9)&gt;0,D$54
,AND(NOT(D7=""),NOT(D9="")),image("https://i.imgur.com/KBbzuFB.jpeg",2))
,"")</f>
        <v/>
      </c>
      <c r="E8" s="79" t="str">
        <f>IF(LEN(D8)&gt;0,IMAGE(D$47),"")</f>
        <v/>
      </c>
      <c r="F8" s="82" t="str">
        <f>iferror(IFS(
LEN(F9)&gt;0,F$54
,AND(NOT(F7=""),NOT(F9="")),image("https://i.imgur.com/KBbzuFB.jpeg",2))
,"")</f>
        <v/>
      </c>
      <c r="G8" s="79" t="str">
        <f>IF(LEN(F8)&gt;0,IMAGE(F$47),"")</f>
        <v/>
      </c>
      <c r="H8" s="82" t="str">
        <f>iferror(IFS(
LEN(H9)&gt;0,H$54
,AND(NOT(H7=""),NOT(H9="")),image("https://i.imgur.com/KBbzuFB.jpeg",2))
,"")</f>
        <v/>
      </c>
      <c r="I8" s="79" t="str">
        <f>IF(LEN(H8)&gt;0,IMAGE(H$47),"")</f>
        <v/>
      </c>
      <c r="J8" s="82" t="str">
        <f>iferror(IFS(
LEN(J9)&gt;0,J$54
,AND(NOT(J7=""),NOT(J9="")),image("https://i.imgur.com/KBbzuFB.jpeg",2))
,"")</f>
        <v/>
      </c>
      <c r="K8" s="79" t="str">
        <f>IF(LEN(J8)&gt;0,IMAGE(J$47),"")</f>
        <v/>
      </c>
      <c r="L8" s="82" t="str">
        <f>iferror(IFS(
LEN(L9)&gt;0,L$54
,AND(NOT(L7=""),NOT(L9="")),image("https://i.imgur.com/KBbzuFB.jpeg",2))
,"")</f>
        <v/>
      </c>
      <c r="M8" s="79" t="str">
        <f>IF(LEN(L8)&gt;0,IMAGE(L$47),"")</f>
        <v/>
      </c>
      <c r="N8" s="82" t="str">
        <f>iferror(IFS(
LEN(N9)&gt;0,N$54
,AND(NOT(N7=""),NOT(N9="")),image("https://i.imgur.com/KBbzuFB.jpeg",2))
,"")</f>
        <v/>
      </c>
      <c r="O8" s="79" t="str">
        <f>IF(LEN(N8)&gt;0,IMAGE(N$47),"")</f>
        <v/>
      </c>
      <c r="P8" s="82" t="str">
        <f>iferror(IFS(
LEN(P9)&gt;0,P$54
,AND(NOT(P7=""),NOT(P9="")),image("https://i.imgur.com/KBbzuFB.jpeg",2))
,"")</f>
        <v/>
      </c>
      <c r="Q8" s="79" t="str">
        <f>IF(LEN(P8)&gt;0,IMAGE(P$47),"")</f>
        <v/>
      </c>
      <c r="R8" s="82" t="str">
        <f>iferror(IFS(
LEN(R9)&gt;0,R$54
,AND(NOT(R7=""),NOT(R9="")),image("https://i.imgur.com/KBbzuFB.jpeg",2))
,"")</f>
        <v/>
      </c>
      <c r="S8" s="79" t="str">
        <f>IF(LEN(R8)&gt;0,IMAGE(R$47),"")</f>
        <v/>
      </c>
      <c r="T8" s="82" t="str">
        <f>iferror(IFS(
LEN(T9)&gt;0,T$54
,AND(NOT(T7=""),NOT(T9="")),image("https://i.imgur.com/KBbzuFB.jpeg",2))
,"")</f>
        <v/>
      </c>
      <c r="U8" s="79" t="str">
        <f>IF(LEN(T8)&gt;0,IMAGE(T$47),"")</f>
        <v/>
      </c>
      <c r="V8" s="82" t="str">
        <f>iferror(IFS(
LEN(V9)&gt;0,V$54
,AND(NOT(V7=""),NOT(V9="")),image("https://i.imgur.com/KBbzuFB.jpeg",2))
,"")</f>
        <v/>
      </c>
      <c r="W8" s="79" t="str">
        <f>IF(LEN(V8)&gt;0,IMAGE(V$47),"")</f>
        <v/>
      </c>
      <c r="X8" s="82" t="str">
        <f>iferror(IFS(
LEN(X9)&gt;0,X$54
,AND(NOT(X7=""),NOT(X9="")),image("https://i.imgur.com/KBbzuFB.jpeg",2))
,"")</f>
        <v/>
      </c>
      <c r="Y8" s="79" t="str">
        <f>IF(LEN(X8)&gt;0,IMAGE(X$47),"")</f>
        <v/>
      </c>
      <c r="Z8" s="82" t="str">
        <f>iferror(IFS(
LEN(Z9)&gt;0,Z$54
,AND(NOT(Z7=""),NOT(Z9="")),image("https://i.imgur.com/KBbzuFB.jpeg",2))
,"")</f>
        <v/>
      </c>
      <c r="AA8" s="79" t="str">
        <f>IF(LEN(Z8)&gt;0,IMAGE(Z$47),"")</f>
        <v/>
      </c>
      <c r="AB8" s="82" t="str">
        <f>iferror(IFS(
LEN(AB9)&gt;0,AB$54
,AND(NOT(AB7=""),NOT(AB9="")),image("https://i.imgur.com/KBbzuFB.jpeg",2))
,"")</f>
        <v/>
      </c>
      <c r="AC8" s="79" t="str">
        <f>IF(LEN(AB8)&gt;0,IMAGE(AB$47),"")</f>
        <v/>
      </c>
      <c r="AD8" s="82" t="str">
        <f>iferror(IFS(
LEN(AD9)&gt;0,AD$54
,AND(NOT(AD7=""),NOT(AD9="")),image("https://i.imgur.com/KBbzuFB.jpeg",2))
,"")</f>
        <v/>
      </c>
      <c r="AE8" s="79" t="str">
        <f>IF(LEN(AD8)&gt;0,IMAGE(AD$47),"")</f>
        <v/>
      </c>
      <c r="AF8" s="82" t="str">
        <f>iferror(IFS(
LEN(AF9)&gt;0,AF$54
,AND(NOT(AF7=""),NOT(AF9="")),image("https://i.imgur.com/KBbzuFB.jpeg",2))
,"")</f>
        <v/>
      </c>
      <c r="AG8" s="79" t="str">
        <f>IF(LEN(AF8)&gt;0,IMAGE(AF$47),"")</f>
        <v/>
      </c>
    </row>
    <row r="9" ht="123.0" customHeight="1">
      <c r="A9" s="81">
        <v>2.0</v>
      </c>
      <c r="B9" s="84" t="s">
        <v>41</v>
      </c>
      <c r="C9" s="81" t="str">
        <f t="shared" si="1"/>
        <v>#REF!</v>
      </c>
      <c r="D9" s="85" t="str">
        <f>iferror(IFS(
LEN(D$51)=0,""
,D$51=$A9,D$52
,LEN(F$51)=0,""
,AND(F$51=$A9, D$51&lt;$A9),image("https://i.imgur.com/xlMPbEe.jpeg",2)
,AND(F$51=$A9, D$51&gt;$A9),image("https://i.imgur.com/feB6SdS.jpeg",2)
,AND(F$51&gt;$A9, D$51&lt;$A9),image("https://i.imgur.com/KBbzuFB.jpeg",2)
,AND(F$51&lt;$A9, D$51&gt;$A9),image("https://i.imgur.com/KBbzuFB.jpeg",2)
),"")</f>
        <v>Activity ##
Details
[Tech tool]</v>
      </c>
      <c r="E9" s="86" t="str">
        <f>IF(LEN(D9)&gt;0,D$46,"")</f>
        <v>Facilitate Learning Together</v>
      </c>
      <c r="F9" s="85" t="str">
        <f>iferror(IFS(
LEN(F$51)=0,""
,F$51=$A9,F$52
,LEN(H$51)=0,""
,AND(H$51=$A9, F$51&lt;$A9),image("https://i.imgur.com/xlMPbEe.jpeg",2)
,AND(H$51=$A9, F$51&gt;$A9),image("https://i.imgur.com/feB6SdS.jpeg",2)
,AND(H$51&gt;$A9, F$51&lt;$A9),image("https://i.imgur.com/KBbzuFB.jpeg",2)
,AND(H$51&lt;$A9, F$51&gt;$A9),image("https://i.imgur.com/KBbzuFB.jpeg",2)
),"")</f>
        <v/>
      </c>
      <c r="G9" s="86" t="str">
        <f>IF(LEN(F9)&gt;0,F$46,"")</f>
        <v/>
      </c>
      <c r="H9" s="85" t="str">
        <f>iferror(IFS(
LEN(H$51)=0,""
,H$51=$A9,H$52
,LEN(J$51)=0,""
,AND(J$51=$A9, H$51&lt;$A9),image("https://i.imgur.com/xlMPbEe.jpeg",2)
,AND(J$51=$A9, H$51&gt;$A9),image("https://i.imgur.com/feB6SdS.jpeg",2)
,AND(J$51&gt;$A9, H$51&lt;$A9),image("https://i.imgur.com/KBbzuFB.jpeg",2)
,AND(J$51&lt;$A9, H$51&gt;$A9),image("https://i.imgur.com/KBbzuFB.jpeg",2)
),"")</f>
        <v/>
      </c>
      <c r="I9" s="86" t="str">
        <f>IF(LEN(H9)&gt;0,H$46,"")</f>
        <v/>
      </c>
      <c r="J9" s="85" t="str">
        <f>iferror(IFS(
LEN(J$51)=0,""
,J$51=$A9,J$52
,LEN(L$51)=0,""
,AND(L$51=$A9, J$51&lt;$A9),image("https://i.imgur.com/xlMPbEe.jpeg",2)
,AND(L$51=$A9, J$51&gt;$A9),image("https://i.imgur.com/feB6SdS.jpeg",2)
,AND(L$51&gt;$A9, J$51&lt;$A9),image("https://i.imgur.com/KBbzuFB.jpeg",2)
,AND(L$51&lt;$A9, J$51&gt;$A9),image("https://i.imgur.com/KBbzuFB.jpeg",2)
),"")</f>
        <v/>
      </c>
      <c r="K9" s="86" t="str">
        <f>IF(LEN(J9)&gt;0,J$46,"")</f>
        <v/>
      </c>
      <c r="L9" s="85" t="str">
        <f>iferror(IFS(
LEN(L$51)=0,""
,L$51=$A9,L$52
,LEN(N$51)=0,""
,AND(N$51=$A9, L$51&lt;$A9),image("https://i.imgur.com/xlMPbEe.jpeg",2)
,AND(N$51=$A9, L$51&gt;$A9),image("https://i.imgur.com/feB6SdS.jpeg",2)
,AND(N$51&gt;$A9, L$51&lt;$A9),image("https://i.imgur.com/KBbzuFB.jpeg",2)
,AND(N$51&lt;$A9, L$51&gt;$A9),image("https://i.imgur.com/KBbzuFB.jpeg",2)
),"")</f>
        <v/>
      </c>
      <c r="M9" s="86" t="str">
        <f>IF(LEN(L9)&gt;0,L$46,"")</f>
        <v/>
      </c>
      <c r="N9" s="85" t="str">
        <f>iferror(IFS(
LEN(N$51)=0,""
,N$51=$A9,N$52
,LEN(P$51)=0,""
,AND(P$51=$A9, N$51&lt;$A9),image("https://i.imgur.com/xlMPbEe.jpeg",2)
,AND(P$51=$A9, N$51&gt;$A9),image("https://i.imgur.com/feB6SdS.jpeg",2)
,AND(P$51&gt;$A9, N$51&lt;$A9),image("https://i.imgur.com/KBbzuFB.jpeg",2)
,AND(P$51&lt;$A9, N$51&gt;$A9),image("https://i.imgur.com/KBbzuFB.jpeg",2)
),"")</f>
        <v/>
      </c>
      <c r="O9" s="86" t="str">
        <f>IF(LEN(N9)&gt;0,N$46,"")</f>
        <v/>
      </c>
      <c r="P9" s="85" t="str">
        <f>iferror(IFS(
LEN(P$51)=0,""
,P$51=$A9,P$52
,LEN(R$51)=0,""
,AND(R$51=$A9, P$51&lt;$A9),image("https://i.imgur.com/xlMPbEe.jpeg",2)
,AND(R$51=$A9, P$51&gt;$A9),image("https://i.imgur.com/feB6SdS.jpeg",2)
,AND(R$51&gt;$A9, P$51&lt;$A9),image("https://i.imgur.com/KBbzuFB.jpeg",2)
,AND(R$51&lt;$A9, P$51&gt;$A9),image("https://i.imgur.com/KBbzuFB.jpeg",2)
),"")</f>
        <v/>
      </c>
      <c r="Q9" s="86" t="str">
        <f>IF(LEN(P9)&gt;0,P$46,"")</f>
        <v/>
      </c>
      <c r="R9" s="85" t="str">
        <f>iferror(IFS(
LEN(R$51)=0,""
,R$51=$A9,R$52
,LEN(T$51)=0,""
,AND(T$51=$A9, R$51&lt;$A9),image("https://i.imgur.com/xlMPbEe.jpeg",2)
,AND(T$51=$A9, R$51&gt;$A9),image("https://i.imgur.com/feB6SdS.jpeg",2)
,AND(T$51&gt;$A9, R$51&lt;$A9),image("https://i.imgur.com/KBbzuFB.jpeg",2)
,AND(T$51&lt;$A9, R$51&gt;$A9),image("https://i.imgur.com/KBbzuFB.jpeg",2)
),"")</f>
        <v/>
      </c>
      <c r="S9" s="86" t="str">
        <f>IF(LEN(R9)&gt;0,R$46,"")</f>
        <v/>
      </c>
      <c r="T9" s="85" t="str">
        <f>iferror(IFS(
LEN(T$51)=0,""
,T$51=$A9,T$52
,LEN(V$51)=0,""
,AND(V$51=$A9, T$51&lt;$A9),image("https://i.imgur.com/xlMPbEe.jpeg",2)
,AND(V$51=$A9, T$51&gt;$A9),image("https://i.imgur.com/feB6SdS.jpeg",2)
,AND(V$51&gt;$A9, T$51&lt;$A9),image("https://i.imgur.com/KBbzuFB.jpeg",2)
,AND(V$51&lt;$A9, T$51&gt;$A9),image("https://i.imgur.com/KBbzuFB.jpeg",2)
),"")</f>
        <v/>
      </c>
      <c r="U9" s="86" t="str">
        <f>IF(LEN(T9)&gt;0,T$46,"")</f>
        <v/>
      </c>
      <c r="V9" s="85" t="str">
        <f>iferror(IFS(
LEN(V$51)=0,""
,V$51=$A9,V$52
,LEN(X$51)=0,""
,AND(X$51=$A9, V$51&lt;$A9),image("https://i.imgur.com/xlMPbEe.jpeg",2)
,AND(X$51=$A9, V$51&gt;$A9),image("https://i.imgur.com/feB6SdS.jpeg",2)
,AND(X$51&gt;$A9, V$51&lt;$A9),image("https://i.imgur.com/KBbzuFB.jpeg",2)
,AND(X$51&lt;$A9, V$51&gt;$A9),image("https://i.imgur.com/KBbzuFB.jpeg",2)
),"")</f>
        <v/>
      </c>
      <c r="W9" s="86" t="str">
        <f>IF(LEN(V9)&gt;0,V$46,"")</f>
        <v/>
      </c>
      <c r="X9" s="85" t="str">
        <f>iferror(IFS(
LEN(X$51)=0,""
,X$51=$A9,X$52
,LEN(Z$51)=0,""
,AND(Z$51=$A9, X$51&lt;$A9),image("https://i.imgur.com/xlMPbEe.jpeg",2)
,AND(Z$51=$A9, X$51&gt;$A9),image("https://i.imgur.com/feB6SdS.jpeg",2)
,AND(Z$51&gt;$A9, X$51&lt;$A9),image("https://i.imgur.com/KBbzuFB.jpeg",2)
,AND(Z$51&lt;$A9, X$51&gt;$A9),image("https://i.imgur.com/KBbzuFB.jpeg",2)
),"")</f>
        <v/>
      </c>
      <c r="Y9" s="86" t="str">
        <f>IF(LEN(X9)&gt;0,X$46,"")</f>
        <v/>
      </c>
      <c r="Z9" s="85" t="str">
        <f>iferror(IFS(
LEN(Z$51)=0,""
,Z$51=$A9,Z$52
,LEN(AB$51)=0,""
,AND(AB$51=$A9, Z$51&lt;$A9),image("https://i.imgur.com/xlMPbEe.jpeg",2)
,AND(AB$51=$A9, Z$51&gt;$A9),image("https://i.imgur.com/feB6SdS.jpeg",2)
,AND(AB$51&gt;$A9, Z$51&lt;$A9),image("https://i.imgur.com/KBbzuFB.jpeg",2)
,AND(AB$51&lt;$A9, Z$51&gt;$A9),image("https://i.imgur.com/KBbzuFB.jpeg",2)
),"")</f>
        <v/>
      </c>
      <c r="AA9" s="86" t="str">
        <f>IF(LEN(Z9)&gt;0,Z$46,"")</f>
        <v/>
      </c>
      <c r="AB9" s="85" t="str">
        <f>iferror(IFS(
LEN(AB$51)=0,""
,AB$51=$A9,AB$52
,LEN(AD$51)=0,""
,AND(AD$51=$A9, AB$51&lt;$A9),image("https://i.imgur.com/xlMPbEe.jpeg",2)
,AND(AD$51=$A9, AB$51&gt;$A9),image("https://i.imgur.com/feB6SdS.jpeg",2)
,AND(AD$51&gt;$A9, AB$51&lt;$A9),image("https://i.imgur.com/KBbzuFB.jpeg",2)
,AND(AD$51&lt;$A9, AB$51&gt;$A9),image("https://i.imgur.com/KBbzuFB.jpeg",2)
),"")</f>
        <v/>
      </c>
      <c r="AC9" s="86" t="str">
        <f>IF(LEN(AB9)&gt;0,AB$46,"")</f>
        <v/>
      </c>
      <c r="AD9" s="85" t="str">
        <f>iferror(IFS(
LEN(AD$51)=0,""
,AD$51=$A9,AD$52
,LEN(AF$51)=0,""
,AND(AF$51=$A9, AD$51&lt;$A9),image("https://i.imgur.com/xlMPbEe.jpeg",2)
,AND(AF$51=$A9, AD$51&gt;$A9),image("https://i.imgur.com/feB6SdS.jpeg",2)
,AND(AF$51&gt;$A9, AD$51&lt;$A9),image("https://i.imgur.com/KBbzuFB.jpeg",2)
,AND(AF$51&lt;$A9, AD$51&gt;$A9),image("https://i.imgur.com/KBbzuFB.jpeg",2)
),"")</f>
        <v/>
      </c>
      <c r="AE9" s="86" t="str">
        <f>IF(LEN(AD9)&gt;0,AD$46,"")</f>
        <v/>
      </c>
      <c r="AF9" s="85" t="str">
        <f>iferror(IFS(
LEN(AF$51)=0,""
,AF$51=$A9,AF$52
,LEN(AH$51)=0,""
,AND(AH$51=$A9, AF$51&lt;$A9),image("https://i.imgur.com/xlMPbEe.jpeg",2)
,AND(AH$51=$A9, AF$51&gt;$A9),image("https://i.imgur.com/feB6SdS.jpeg",2)
,AND(AH$51&gt;$A9, AF$51&lt;$A9),image("https://i.imgur.com/KBbzuFB.jpeg",2)
,AND(AH$51&lt;$A9, AF$51&gt;$A9),image("https://i.imgur.com/KBbzuFB.jpeg",2)
),"")</f>
        <v/>
      </c>
      <c r="AG9" s="86" t="str">
        <f>IF(LEN(AF9)&gt;0,AF$46,"")</f>
        <v/>
      </c>
    </row>
    <row r="10" ht="10.5" customHeight="1">
      <c r="A10" s="81"/>
      <c r="B10" s="84"/>
      <c r="C10" s="81" t="str">
        <f t="shared" si="1"/>
        <v>#REF!</v>
      </c>
      <c r="D10" s="82" t="str">
        <f>iferror(IFS(
LEN(D11)&gt;0,D$54
,AND(NOT(D9=""),NOT(D11="")),image("https://i.imgur.com/KBbzuFB.jpeg",2))
,"")</f>
        <v/>
      </c>
      <c r="E10" s="79" t="str">
        <f>IF(LEN(D10)&gt;0,IMAGE(D$47),"")</f>
        <v/>
      </c>
      <c r="F10" s="82" t="str">
        <f>iferror(IFS(
LEN(F11)&gt;0,F$54
,AND(NOT(F9=""),NOT(F11="")),image("https://i.imgur.com/KBbzuFB.jpeg",2))
,"")</f>
        <v/>
      </c>
      <c r="G10" s="79" t="str">
        <f>IF(LEN(F10)&gt;0,IMAGE(F$47),"")</f>
        <v/>
      </c>
      <c r="H10" s="82" t="str">
        <f>iferror(IFS(
LEN(H11)&gt;0,H$54
,AND(NOT(H9=""),NOT(H11="")),image("https://i.imgur.com/KBbzuFB.jpeg",2))
,"")</f>
        <v/>
      </c>
      <c r="I10" s="79" t="str">
        <f>IF(LEN(H10)&gt;0,IMAGE(H$47),"")</f>
        <v/>
      </c>
      <c r="J10" s="82" t="str">
        <f>iferror(IFS(
LEN(J11)&gt;0,J$54
,AND(NOT(J9=""),NOT(J11="")),image("https://i.imgur.com/KBbzuFB.jpeg",2))
,"")</f>
        <v/>
      </c>
      <c r="K10" s="79" t="str">
        <f>IF(LEN(J10)&gt;0,IMAGE(J$47),"")</f>
        <v/>
      </c>
      <c r="L10" s="82" t="str">
        <f>iferror(IFS(
LEN(L11)&gt;0,L$54
,AND(NOT(L9=""),NOT(L11="")),image("https://i.imgur.com/KBbzuFB.jpeg",2))
,"")</f>
        <v/>
      </c>
      <c r="M10" s="79" t="str">
        <f>IF(LEN(L10)&gt;0,IMAGE(L$47),"")</f>
        <v/>
      </c>
      <c r="N10" s="82" t="str">
        <f>iferror(IFS(
LEN(N11)&gt;0,N$54
,AND(NOT(N9=""),NOT(N11="")),image("https://i.imgur.com/KBbzuFB.jpeg",2))
,"")</f>
        <v/>
      </c>
      <c r="O10" s="79" t="str">
        <f>IF(LEN(N10)&gt;0,IMAGE(N$47),"")</f>
        <v/>
      </c>
      <c r="P10" s="82" t="str">
        <f>iferror(IFS(
LEN(P11)&gt;0,P$54
,AND(NOT(P9=""),NOT(P11="")),image("https://i.imgur.com/KBbzuFB.jpeg",2))
,"")</f>
        <v/>
      </c>
      <c r="Q10" s="79" t="str">
        <f>IF(LEN(P10)&gt;0,IMAGE(P$47),"")</f>
        <v/>
      </c>
      <c r="R10" s="82" t="str">
        <f>iferror(IFS(
LEN(R11)&gt;0,R$54
,AND(NOT(R9=""),NOT(R11="")),image("https://i.imgur.com/KBbzuFB.jpeg",2))
,"")</f>
        <v/>
      </c>
      <c r="S10" s="79" t="str">
        <f>IF(LEN(R10)&gt;0,IMAGE(R$47),"")</f>
        <v/>
      </c>
      <c r="T10" s="82" t="str">
        <f>iferror(IFS(
LEN(T11)&gt;0,T$54
,AND(NOT(T9=""),NOT(T11="")),image("https://i.imgur.com/KBbzuFB.jpeg",2))
,"")</f>
        <v/>
      </c>
      <c r="U10" s="79" t="str">
        <f>IF(LEN(T10)&gt;0,IMAGE(T$47),"")</f>
        <v/>
      </c>
      <c r="V10" s="82" t="str">
        <f>iferror(IFS(
LEN(V11)&gt;0,V$54
,AND(NOT(V9=""),NOT(V11="")),image("https://i.imgur.com/KBbzuFB.jpeg",2))
,"")</f>
        <v/>
      </c>
      <c r="W10" s="79" t="str">
        <f>IF(LEN(V10)&gt;0,IMAGE(V$47),"")</f>
        <v/>
      </c>
      <c r="X10" s="82" t="str">
        <f>iferror(IFS(
LEN(X11)&gt;0,X$54
,AND(NOT(X9=""),NOT(X11="")),image("https://i.imgur.com/KBbzuFB.jpeg",2))
,"")</f>
        <v/>
      </c>
      <c r="Y10" s="79" t="str">
        <f>IF(LEN(X10)&gt;0,IMAGE(X$47),"")</f>
        <v/>
      </c>
      <c r="Z10" s="82" t="str">
        <f>iferror(IFS(
LEN(Z11)&gt;0,Z$54
,AND(NOT(Z9=""),NOT(Z11="")),image("https://i.imgur.com/KBbzuFB.jpeg",2))
,"")</f>
        <v/>
      </c>
      <c r="AA10" s="79" t="str">
        <f>IF(LEN(Z10)&gt;0,IMAGE(Z$47),"")</f>
        <v/>
      </c>
      <c r="AB10" s="82" t="str">
        <f>iferror(IFS(
LEN(AB11)&gt;0,AB$54
,AND(NOT(AB9=""),NOT(AB11="")),image("https://i.imgur.com/KBbzuFB.jpeg",2))
,"")</f>
        <v/>
      </c>
      <c r="AC10" s="79" t="str">
        <f>IF(LEN(AB10)&gt;0,IMAGE(AB$47),"")</f>
        <v/>
      </c>
      <c r="AD10" s="82" t="str">
        <f>iferror(IFS(
LEN(AD11)&gt;0,AD$54
,AND(NOT(AD9=""),NOT(AD11="")),image("https://i.imgur.com/KBbzuFB.jpeg",2))
,"")</f>
        <v/>
      </c>
      <c r="AE10" s="79" t="str">
        <f>IF(LEN(AD10)&gt;0,IMAGE(AD$47),"")</f>
        <v/>
      </c>
      <c r="AF10" s="82" t="str">
        <f>iferror(IFS(
LEN(AF11)&gt;0,AF$54
,AND(NOT(AF9=""),NOT(AF11="")),image("https://i.imgur.com/KBbzuFB.jpeg",2))
,"")</f>
        <v/>
      </c>
      <c r="AG10" s="79" t="str">
        <f>IF(LEN(AF10)&gt;0,IMAGE(AF$47),"")</f>
        <v/>
      </c>
    </row>
    <row r="11" ht="123.0" customHeight="1">
      <c r="A11" s="81">
        <v>1.0</v>
      </c>
      <c r="B11" s="84" t="s">
        <v>42</v>
      </c>
      <c r="C11" s="81" t="str">
        <f t="shared" si="1"/>
        <v>#REF!</v>
      </c>
      <c r="D11" s="85" t="str">
        <f>iferror(IFS(
LEN(D$51)=0,""
,D$51=$A11,D$52
,LEN(F$51)=0,""
,AND(F$51=$A11, D$51&lt;$A11),image("https://i.imgur.com/xlMPbEe.jpeg",2)
,AND(F$51=$A11, D$51&gt;$A11),image("https://i.imgur.com/feB6SdS.jpeg",2)
,AND(F$51&gt;$A11, D$51&lt;$A11),image("https://i.imgur.com/KBbzuFB.jpeg",2)
,AND(F$51&lt;$A11, D$51&gt;$A11),image("https://i.imgur.com/KBbzuFB.jpeg",2)
),"")</f>
        <v/>
      </c>
      <c r="E11" s="86" t="str">
        <f>IF(LEN(D11)&gt;0,D$46,"")</f>
        <v/>
      </c>
      <c r="F11" s="85" t="str">
        <f>iferror(IFS(
LEN(F$51)=0,""
,F$51=$A11,F$52
,LEN(H$51)=0,""
,AND(H$51=$A11, F$51&lt;$A11),image("https://i.imgur.com/xlMPbEe.jpeg",2)
,AND(H$51=$A11, F$51&gt;$A11),image("https://i.imgur.com/feB6SdS.jpeg",2)
,AND(H$51&gt;$A11, F$51&lt;$A11),image("https://i.imgur.com/KBbzuFB.jpeg",2)
,AND(H$51&lt;$A11, F$51&gt;$A11),image("https://i.imgur.com/KBbzuFB.jpeg",2)
),"")</f>
        <v/>
      </c>
      <c r="G11" s="86" t="str">
        <f>IF(LEN(F11)&gt;0,F$46,"")</f>
        <v/>
      </c>
      <c r="H11" s="85" t="str">
        <f>iferror(IFS(
LEN(H$51)=0,""
,H$51=$A11,H$52
,LEN(J$51)=0,""
,AND(J$51=$A11, H$51&lt;$A11),image("https://i.imgur.com/xlMPbEe.jpeg",2)
,AND(J$51=$A11, H$51&gt;$A11),image("https://i.imgur.com/feB6SdS.jpeg",2)
,AND(J$51&gt;$A11, H$51&lt;$A11),image("https://i.imgur.com/KBbzuFB.jpeg",2)
,AND(J$51&lt;$A11, H$51&gt;$A11),image("https://i.imgur.com/KBbzuFB.jpeg",2)
),"")</f>
        <v/>
      </c>
      <c r="I11" s="86" t="str">
        <f>IF(LEN(H11)&gt;0,H$46,"")</f>
        <v/>
      </c>
      <c r="J11" s="85" t="str">
        <f>iferror(IFS(
LEN(J$51)=0,""
,J$51=$A11,J$52
,LEN(L$51)=0,""
,AND(L$51=$A11, J$51&lt;$A11),image("https://i.imgur.com/xlMPbEe.jpeg",2)
,AND(L$51=$A11, J$51&gt;$A11),image("https://i.imgur.com/feB6SdS.jpeg",2)
,AND(L$51&gt;$A11, J$51&lt;$A11),image("https://i.imgur.com/KBbzuFB.jpeg",2)
,AND(L$51&lt;$A11, J$51&gt;$A11),image("https://i.imgur.com/KBbzuFB.jpeg",2)
),"")</f>
        <v/>
      </c>
      <c r="K11" s="86" t="str">
        <f>IF(LEN(J11)&gt;0,J$46,"")</f>
        <v/>
      </c>
      <c r="L11" s="85" t="str">
        <f>iferror(IFS(
LEN(L$51)=0,""
,L$51=$A11,L$52
,LEN(N$51)=0,""
,AND(N$51=$A11, L$51&lt;$A11),image("https://i.imgur.com/xlMPbEe.jpeg",2)
,AND(N$51=$A11, L$51&gt;$A11),image("https://i.imgur.com/feB6SdS.jpeg",2)
,AND(N$51&gt;$A11, L$51&lt;$A11),image("https://i.imgur.com/KBbzuFB.jpeg",2)
,AND(N$51&lt;$A11, L$51&gt;$A11),image("https://i.imgur.com/KBbzuFB.jpeg",2)
),"")</f>
        <v/>
      </c>
      <c r="M11" s="86" t="str">
        <f>IF(LEN(L11)&gt;0,L$46,"")</f>
        <v/>
      </c>
      <c r="N11" s="85" t="str">
        <f>iferror(IFS(
LEN(N$51)=0,""
,N$51=$A11,N$52
,LEN(P$51)=0,""
,AND(P$51=$A11, N$51&lt;$A11),image("https://i.imgur.com/xlMPbEe.jpeg",2)
,AND(P$51=$A11, N$51&gt;$A11),image("https://i.imgur.com/feB6SdS.jpeg",2)
,AND(P$51&gt;$A11, N$51&lt;$A11),image("https://i.imgur.com/KBbzuFB.jpeg",2)
,AND(P$51&lt;$A11, N$51&gt;$A11),image("https://i.imgur.com/KBbzuFB.jpeg",2)
),"")</f>
        <v/>
      </c>
      <c r="O11" s="86" t="str">
        <f>IF(LEN(N11)&gt;0,N$46,"")</f>
        <v/>
      </c>
      <c r="P11" s="85" t="str">
        <f>iferror(IFS(
LEN(P$51)=0,""
,P$51=$A11,P$52
,LEN(R$51)=0,""
,AND(R$51=$A11, P$51&lt;$A11),image("https://i.imgur.com/xlMPbEe.jpeg",2)
,AND(R$51=$A11, P$51&gt;$A11),image("https://i.imgur.com/feB6SdS.jpeg",2)
,AND(R$51&gt;$A11, P$51&lt;$A11),image("https://i.imgur.com/KBbzuFB.jpeg",2)
,AND(R$51&lt;$A11, P$51&gt;$A11),image("https://i.imgur.com/KBbzuFB.jpeg",2)
),"")</f>
        <v/>
      </c>
      <c r="Q11" s="86" t="str">
        <f>IF(LEN(P11)&gt;0,P$46,"")</f>
        <v/>
      </c>
      <c r="R11" s="85" t="str">
        <f>iferror(IFS(
LEN(R$51)=0,""
,R$51=$A11,R$52
,LEN(T$51)=0,""
,AND(T$51=$A11, R$51&lt;$A11),image("https://i.imgur.com/xlMPbEe.jpeg",2)
,AND(T$51=$A11, R$51&gt;$A11),image("https://i.imgur.com/feB6SdS.jpeg",2)
,AND(T$51&gt;$A11, R$51&lt;$A11),image("https://i.imgur.com/KBbzuFB.jpeg",2)
,AND(T$51&lt;$A11, R$51&gt;$A11),image("https://i.imgur.com/KBbzuFB.jpeg",2)
),"")</f>
        <v/>
      </c>
      <c r="S11" s="86" t="str">
        <f>IF(LEN(R11)&gt;0,R$46,"")</f>
        <v/>
      </c>
      <c r="T11" s="85" t="str">
        <f>iferror(IFS(
LEN(T$51)=0,""
,T$51=$A11,T$52
,LEN(V$51)=0,""
,AND(V$51=$A11, T$51&lt;$A11),image("https://i.imgur.com/xlMPbEe.jpeg",2)
,AND(V$51=$A11, T$51&gt;$A11),image("https://i.imgur.com/feB6SdS.jpeg",2)
,AND(V$51&gt;$A11, T$51&lt;$A11),image("https://i.imgur.com/KBbzuFB.jpeg",2)
,AND(V$51&lt;$A11, T$51&gt;$A11),image("https://i.imgur.com/KBbzuFB.jpeg",2)
),"")</f>
        <v/>
      </c>
      <c r="U11" s="86" t="str">
        <f>IF(LEN(T11)&gt;0,T$46,"")</f>
        <v/>
      </c>
      <c r="V11" s="85" t="str">
        <f>iferror(IFS(
LEN(V$51)=0,""
,V$51=$A11,V$52
,LEN(X$51)=0,""
,AND(X$51=$A11, V$51&lt;$A11),image("https://i.imgur.com/xlMPbEe.jpeg",2)
,AND(X$51=$A11, V$51&gt;$A11),image("https://i.imgur.com/feB6SdS.jpeg",2)
,AND(X$51&gt;$A11, V$51&lt;$A11),image("https://i.imgur.com/KBbzuFB.jpeg",2)
,AND(X$51&lt;$A11, V$51&gt;$A11),image("https://i.imgur.com/KBbzuFB.jpeg",2)
),"")</f>
        <v/>
      </c>
      <c r="W11" s="86" t="str">
        <f>IF(LEN(V11)&gt;0,V$46,"")</f>
        <v/>
      </c>
      <c r="X11" s="85" t="str">
        <f>iferror(IFS(
LEN(X$51)=0,""
,X$51=$A11,X$52
,LEN(Z$51)=0,""
,AND(Z$51=$A11, X$51&lt;$A11),image("https://i.imgur.com/xlMPbEe.jpeg",2)
,AND(Z$51=$A11, X$51&gt;$A11),image("https://i.imgur.com/feB6SdS.jpeg",2)
,AND(Z$51&gt;$A11, X$51&lt;$A11),image("https://i.imgur.com/KBbzuFB.jpeg",2)
,AND(Z$51&lt;$A11, X$51&gt;$A11),image("https://i.imgur.com/KBbzuFB.jpeg",2)
),"")</f>
        <v/>
      </c>
      <c r="Y11" s="86" t="str">
        <f>IF(LEN(X11)&gt;0,X$46,"")</f>
        <v/>
      </c>
      <c r="Z11" s="85" t="str">
        <f>iferror(IFS(
LEN(Z$51)=0,""
,Z$51=$A11,Z$52
,LEN(AB$51)=0,""
,AND(AB$51=$A11, Z$51&lt;$A11),image("https://i.imgur.com/xlMPbEe.jpeg",2)
,AND(AB$51=$A11, Z$51&gt;$A11),image("https://i.imgur.com/feB6SdS.jpeg",2)
,AND(AB$51&gt;$A11, Z$51&lt;$A11),image("https://i.imgur.com/KBbzuFB.jpeg",2)
,AND(AB$51&lt;$A11, Z$51&gt;$A11),image("https://i.imgur.com/KBbzuFB.jpeg",2)
),"")</f>
        <v/>
      </c>
      <c r="AA11" s="86" t="str">
        <f>IF(LEN(Z11)&gt;0,Z$46,"")</f>
        <v/>
      </c>
      <c r="AB11" s="85" t="str">
        <f>iferror(IFS(
LEN(AB$51)=0,""
,AB$51=$A11,AB$52
,LEN(AD$51)=0,""
,AND(AD$51=$A11, AB$51&lt;$A11),image("https://i.imgur.com/xlMPbEe.jpeg",2)
,AND(AD$51=$A11, AB$51&gt;$A11),image("https://i.imgur.com/feB6SdS.jpeg",2)
,AND(AD$51&gt;$A11, AB$51&lt;$A11),image("https://i.imgur.com/KBbzuFB.jpeg",2)
,AND(AD$51&lt;$A11, AB$51&gt;$A11),image("https://i.imgur.com/KBbzuFB.jpeg",2)
),"")</f>
        <v/>
      </c>
      <c r="AC11" s="86" t="str">
        <f>IF(LEN(AB11)&gt;0,AB$46,"")</f>
        <v/>
      </c>
      <c r="AD11" s="85" t="str">
        <f>iferror(IFS(
LEN(AD$51)=0,""
,AD$51=$A11,AD$52
,LEN(AF$51)=0,""
,AND(AF$51=$A11, AD$51&lt;$A11),image("https://i.imgur.com/xlMPbEe.jpeg",2)
,AND(AF$51=$A11, AD$51&gt;$A11),image("https://i.imgur.com/feB6SdS.jpeg",2)
,AND(AF$51&gt;$A11, AD$51&lt;$A11),image("https://i.imgur.com/KBbzuFB.jpeg",2)
,AND(AF$51&lt;$A11, AD$51&gt;$A11),image("https://i.imgur.com/KBbzuFB.jpeg",2)
),"")</f>
        <v/>
      </c>
      <c r="AE11" s="86" t="str">
        <f>IF(LEN(AD11)&gt;0,AD$46,"")</f>
        <v/>
      </c>
      <c r="AF11" s="85" t="str">
        <f>iferror(IFS(
LEN(AF$51)=0,""
,AF$51=$A11,AF$52
,LEN(AH$51)=0,""
,AND(AH$51=$A11, AF$51&lt;$A11),image("https://i.imgur.com/xlMPbEe.jpeg",2)
,AND(AH$51=$A11, AF$51&gt;$A11),image("https://i.imgur.com/feB6SdS.jpeg",2)
,AND(AH$51&gt;$A11, AF$51&lt;$A11),image("https://i.imgur.com/KBbzuFB.jpeg",2)
,AND(AH$51&lt;$A11, AF$51&gt;$A11),image("https://i.imgur.com/KBbzuFB.jpeg",2)
),"")</f>
        <v/>
      </c>
      <c r="AG11" s="86" t="str">
        <f>IF(LEN(AF11)&gt;0,AF$46,"")</f>
        <v/>
      </c>
    </row>
    <row r="12" ht="21.0" customHeight="1">
      <c r="A12" s="81"/>
      <c r="B12" s="84"/>
      <c r="C12" s="81" t="str">
        <f t="shared" si="1"/>
        <v>#REF!</v>
      </c>
      <c r="D12" s="82" t="str">
        <f>iferror(IFS(
LEN(D13)&gt;0,D$54
,AND(NOT(D11=""),NOT(D13="")),image("https://i.imgur.com/KBbzuFB.jpeg",2))
,"")</f>
        <v/>
      </c>
      <c r="E12" s="79" t="str">
        <f>IF(LEN(D12)&gt;0,IMAGE(D$47),"")</f>
        <v/>
      </c>
      <c r="F12" s="82" t="str">
        <f>iferror(IFS(
LEN(F13)&gt;0,F$54
,AND(NOT(F11=""),NOT(F13="")),image("https://i.imgur.com/KBbzuFB.jpeg",2))
,"")</f>
        <v/>
      </c>
      <c r="G12" s="79" t="str">
        <f>IF(LEN(F12)&gt;0,IMAGE(F$47),"")</f>
        <v/>
      </c>
      <c r="H12" s="82" t="str">
        <f>iferror(IFS(
LEN(H13)&gt;0,H$54
,AND(NOT(H11=""),NOT(H13="")),image("https://i.imgur.com/KBbzuFB.jpeg",2))
,"")</f>
        <v/>
      </c>
      <c r="I12" s="79" t="str">
        <f>IF(LEN(H12)&gt;0,IMAGE(H$47),"")</f>
        <v/>
      </c>
      <c r="J12" s="82" t="str">
        <f>iferror(IFS(
LEN(J13)&gt;0,J$54
,AND(NOT(J11=""),NOT(J13="")),image("https://i.imgur.com/KBbzuFB.jpeg",2))
,"")</f>
        <v/>
      </c>
      <c r="K12" s="79" t="str">
        <f>IF(LEN(J12)&gt;0,IMAGE(J$47),"")</f>
        <v/>
      </c>
      <c r="L12" s="82" t="str">
        <f>iferror(IFS(
LEN(L13)&gt;0,L$54
,AND(NOT(L11=""),NOT(L13="")),image("https://i.imgur.com/KBbzuFB.jpeg",2))
,"")</f>
        <v/>
      </c>
      <c r="M12" s="79" t="str">
        <f>IF(LEN(L12)&gt;0,IMAGE(L$47),"")</f>
        <v/>
      </c>
      <c r="N12" s="82" t="str">
        <f>iferror(IFS(
LEN(N13)&gt;0,N$54
,AND(NOT(N11=""),NOT(N13="")),image("https://i.imgur.com/KBbzuFB.jpeg",2))
,"")</f>
        <v/>
      </c>
      <c r="O12" s="79" t="str">
        <f>IF(LEN(N12)&gt;0,IMAGE(N$47),"")</f>
        <v/>
      </c>
      <c r="P12" s="82" t="str">
        <f>iferror(IFS(
LEN(P13)&gt;0,P$54
,AND(NOT(P11=""),NOT(P13="")),image("https://i.imgur.com/KBbzuFB.jpeg",2))
,"")</f>
        <v/>
      </c>
      <c r="Q12" s="79" t="str">
        <f>IF(LEN(P12)&gt;0,IMAGE(P$47),"")</f>
        <v/>
      </c>
      <c r="R12" s="82" t="str">
        <f>iferror(IFS(
LEN(R13)&gt;0,R$54
,AND(NOT(R11=""),NOT(R13="")),image("https://i.imgur.com/KBbzuFB.jpeg",2))
,"")</f>
        <v/>
      </c>
      <c r="S12" s="79" t="str">
        <f>IF(LEN(R12)&gt;0,IMAGE(R$47),"")</f>
        <v/>
      </c>
      <c r="T12" s="82" t="str">
        <f>iferror(IFS(
LEN(T13)&gt;0,T$54
,AND(NOT(T11=""),NOT(T13="")),image("https://i.imgur.com/KBbzuFB.jpeg",2))
,"")</f>
        <v/>
      </c>
      <c r="U12" s="79" t="str">
        <f>IF(LEN(T12)&gt;0,IMAGE(T$47),"")</f>
        <v/>
      </c>
      <c r="V12" s="82" t="str">
        <f>iferror(IFS(
LEN(V13)&gt;0,V$54
,AND(NOT(V11=""),NOT(V13="")),image("https://i.imgur.com/KBbzuFB.jpeg",2))
,"")</f>
        <v/>
      </c>
      <c r="W12" s="79" t="str">
        <f>IF(LEN(V12)&gt;0,IMAGE(V$47),"")</f>
        <v/>
      </c>
      <c r="X12" s="82" t="str">
        <f>iferror(IFS(
LEN(X13)&gt;0,X$54
,AND(NOT(X11=""),NOT(X13="")),image("https://i.imgur.com/KBbzuFB.jpeg",2))
,"")</f>
        <v/>
      </c>
      <c r="Y12" s="79" t="str">
        <f>IF(LEN(X12)&gt;0,IMAGE(X$47),"")</f>
        <v/>
      </c>
      <c r="Z12" s="82" t="str">
        <f>iferror(IFS(
LEN(Z13)&gt;0,Z$54
,AND(NOT(Z11=""),NOT(Z13="")),image("https://i.imgur.com/KBbzuFB.jpeg",2))
,"")</f>
        <v/>
      </c>
      <c r="AA12" s="79" t="str">
        <f>IF(LEN(Z12)&gt;0,IMAGE(Z$47),"")</f>
        <v/>
      </c>
      <c r="AB12" s="82" t="str">
        <f>iferror(IFS(
LEN(AB13)&gt;0,AB$54
,AND(NOT(AB11=""),NOT(AB13="")),image("https://i.imgur.com/KBbzuFB.jpeg",2))
,"")</f>
        <v/>
      </c>
      <c r="AC12" s="79" t="str">
        <f>IF(LEN(AB12)&gt;0,IMAGE(AB$47),"")</f>
        <v/>
      </c>
      <c r="AD12" s="82" t="str">
        <f>iferror(IFS(
LEN(AD13)&gt;0,AD$54
,AND(NOT(AD11=""),NOT(AD13="")),image("https://i.imgur.com/KBbzuFB.jpeg",2))
,"")</f>
        <v/>
      </c>
      <c r="AE12" s="79" t="str">
        <f>IF(LEN(AD12)&gt;0,IMAGE(AD$47),"")</f>
        <v/>
      </c>
      <c r="AF12" s="82" t="str">
        <f>iferror(IFS(
LEN(AF13)&gt;0,AF$54
,AND(NOT(AF11=""),NOT(AF13="")),image("https://i.imgur.com/KBbzuFB.jpeg",2))
,"")</f>
        <v/>
      </c>
      <c r="AG12" s="79" t="str">
        <f>IF(LEN(AF12)&gt;0,IMAGE(AF$47),"")</f>
        <v/>
      </c>
    </row>
    <row r="13" ht="123.75" customHeight="1">
      <c r="A13" s="81">
        <v>0.0</v>
      </c>
      <c r="B13" s="84" t="s">
        <v>43</v>
      </c>
      <c r="C13" s="81" t="str">
        <f t="shared" si="1"/>
        <v>#REF!</v>
      </c>
      <c r="D13" s="85" t="str">
        <f>IFERROR(IFS(
LEN(D$51)=0,""
,D$51=$A13,D$52
,LEN(F$51)=0,""
,AND(F$51=$A13, D$51&gt;$A13),image("https://i.imgur.com/feB6SdS.jpeg",2)
,AND(F$51&gt;$A13, D$51&gt;$A13), ""
),"")</f>
        <v/>
      </c>
      <c r="E13" s="86" t="str">
        <f>IF(LEN(D13)&gt;0,D$46,"")</f>
        <v/>
      </c>
      <c r="F13" s="85" t="str">
        <f>IFERROR(IFS(
LEN(F$51)=0,""
,F$51=$A13,F$52
,LEN(H$51)=0,""
,AND(H$51=$A13, F$51&gt;$A13),image("https://i.imgur.com/feB6SdS.jpeg",2)
,AND(H$51&gt;$A13, F$51&gt;$A13), ""
),"")</f>
        <v/>
      </c>
      <c r="G13" s="86" t="str">
        <f>IF(LEN(F13)&gt;0,F$46,"")</f>
        <v/>
      </c>
      <c r="H13" s="85" t="str">
        <f>IFERROR(IFS(
LEN(H$51)=0,""
,H$51=$A13,H$52
,LEN(J$51)=0,""
,AND(J$51=$A13, H$51&gt;$A13),image("https://i.imgur.com/feB6SdS.jpeg",2)
,AND(J$51&gt;$A13, H$51&gt;$A13), ""
),"")</f>
        <v/>
      </c>
      <c r="I13" s="86" t="str">
        <f>IF(LEN(H13)&gt;0,H$46,"")</f>
        <v/>
      </c>
      <c r="J13" s="85" t="str">
        <f>IFERROR(IFS(
LEN(J$51)=0,""
,J$51=$A13,J$52
,LEN(L$51)=0,""
,AND(L$51=$A13, J$51&gt;$A13),image("https://i.imgur.com/feB6SdS.jpeg",2)
,AND(L$51&gt;$A13, J$51&gt;$A13), ""
),"")</f>
        <v/>
      </c>
      <c r="K13" s="86" t="str">
        <f>IF(LEN(J13)&gt;0,J$46,"")</f>
        <v/>
      </c>
      <c r="L13" s="85" t="str">
        <f>IFERROR(IFS(
LEN(L$51)=0,""
,L$51=$A13,L$52
,LEN(N$51)=0,""
,AND(N$51=$A13, L$51&gt;$A13),image("https://i.imgur.com/feB6SdS.jpeg",2)
,AND(N$51&gt;$A13, L$51&gt;$A13), ""
),"")</f>
        <v/>
      </c>
      <c r="M13" s="86" t="str">
        <f>IF(LEN(L13)&gt;0,L$46,"")</f>
        <v/>
      </c>
      <c r="N13" s="85" t="str">
        <f>IFERROR(IFS(
LEN(N$51)=0,""
,N$51=$A13,N$52
,LEN(P$51)=0,""
,AND(P$51=$A13, N$51&gt;$A13),image("https://i.imgur.com/feB6SdS.jpeg",2)
,AND(P$51&gt;$A13, N$51&gt;$A13), ""
),"")</f>
        <v/>
      </c>
      <c r="O13" s="86" t="str">
        <f>IF(LEN(N13)&gt;0,N$46,"")</f>
        <v/>
      </c>
      <c r="P13" s="85" t="str">
        <f>IFERROR(IFS(
LEN(P$51)=0,""
,P$51=$A13,P$52
,LEN(R$51)=0,""
,AND(R$51=$A13, P$51&gt;$A13),image("https://i.imgur.com/feB6SdS.jpeg",2)
,AND(R$51&gt;$A13, P$51&gt;$A13), ""
),"")</f>
        <v/>
      </c>
      <c r="Q13" s="86" t="str">
        <f>IF(LEN(P13)&gt;0,P$46,"")</f>
        <v/>
      </c>
      <c r="R13" s="85" t="str">
        <f>IFERROR(IFS(
LEN(R$51)=0,""
,R$51=$A13,R$52
,LEN(T$51)=0,""
,AND(T$51=$A13, R$51&gt;$A13),image("https://i.imgur.com/feB6SdS.jpeg",2)
,AND(T$51&gt;$A13, R$51&gt;$A13), ""
),"")</f>
        <v/>
      </c>
      <c r="S13" s="86" t="str">
        <f>IF(LEN(R13)&gt;0,R$46,"")</f>
        <v/>
      </c>
      <c r="T13" s="85" t="str">
        <f>IFERROR(IFS(
LEN(T$51)=0,""
,T$51=$A13,T$52
,LEN(V$51)=0,""
,AND(V$51=$A13, T$51&gt;$A13),image("https://i.imgur.com/feB6SdS.jpeg",2)
,AND(V$51&gt;$A13, T$51&gt;$A13), ""
),"")</f>
        <v/>
      </c>
      <c r="U13" s="86" t="str">
        <f>IF(LEN(T13)&gt;0,T$46,"")</f>
        <v/>
      </c>
      <c r="V13" s="85" t="str">
        <f>IFERROR(IFS(
LEN(V$51)=0,""
,V$51=$A13,V$52
,LEN(X$51)=0,""
,AND(X$51=$A13, V$51&gt;$A13),image("https://i.imgur.com/feB6SdS.jpeg",2)
,AND(X$51&gt;$A13, V$51&gt;$A13), ""
),"")</f>
        <v/>
      </c>
      <c r="W13" s="86" t="str">
        <f>IF(LEN(V13)&gt;0,V$46,"")</f>
        <v/>
      </c>
      <c r="X13" s="85" t="str">
        <f>IFERROR(IFS(
LEN(X$51)=0,""
,X$51=$A13,X$52
,LEN(Z$51)=0,""
,AND(Z$51=$A13, X$51&gt;$A13),image("https://i.imgur.com/feB6SdS.jpeg",2)
,AND(Z$51&gt;$A13, X$51&gt;$A13), ""
),"")</f>
        <v/>
      </c>
      <c r="Y13" s="86" t="str">
        <f>IF(LEN(X13)&gt;0,X$46,"")</f>
        <v/>
      </c>
      <c r="Z13" s="85" t="str">
        <f>IFERROR(IFS(
LEN(Z$51)=0,""
,Z$51=$A13,Z$52
,LEN(AB$51)=0,""
,AND(AB$51=$A13, Z$51&gt;$A13),image("https://i.imgur.com/feB6SdS.jpeg",2)
,AND(AB$51&gt;$A13, Z$51&gt;$A13), ""
),"")</f>
        <v/>
      </c>
      <c r="AA13" s="86" t="str">
        <f>IF(LEN(Z13)&gt;0,Z$46,"")</f>
        <v/>
      </c>
      <c r="AB13" s="85" t="str">
        <f>IFERROR(IFS(
LEN(AB$51)=0,""
,AB$51=$A13,AB$52
,LEN(AD$51)=0,""
,AND(AD$51=$A13, AB$51&gt;$A13),image("https://i.imgur.com/feB6SdS.jpeg",2)
,AND(AD$51&gt;$A13, AB$51&gt;$A13), ""
),"")</f>
        <v/>
      </c>
      <c r="AC13" s="86" t="str">
        <f>IF(LEN(AB13)&gt;0,AB$46,"")</f>
        <v/>
      </c>
      <c r="AD13" s="85" t="str">
        <f>IFERROR(IFS(
LEN(AD$51)=0,""
,AD$51=$A13,AD$52
,LEN(AF$51)=0,""
,AND(AF$51=$A13, AD$51&gt;$A13),image("https://i.imgur.com/feB6SdS.jpeg",2)
,AND(AF$51&gt;$A13, AD$51&gt;$A13), ""
),"")</f>
        <v/>
      </c>
      <c r="AE13" s="86" t="str">
        <f>IF(LEN(AD13)&gt;0,AD$46,"")</f>
        <v/>
      </c>
      <c r="AF13" s="85" t="str">
        <f>IFERROR(IFS(
LEN(AF$51)=0,""
,AF$51=$A13,AF$52
,LEN(AH$51)=0,""
,AND(AH$51=$A13, AF$51&gt;$A13),image("https://i.imgur.com/feB6SdS.jpeg",2)
,AND(AH$51&gt;$A13, AF$51&gt;$A13), ""
),"")</f>
        <v/>
      </c>
      <c r="AG13" s="86" t="str">
        <f>IF(LEN(AF13)&gt;0,AF$46,"")</f>
        <v/>
      </c>
    </row>
    <row r="14" ht="24.75" customHeight="1">
      <c r="A14" s="78"/>
      <c r="B14" s="78"/>
      <c r="C14" s="81" t="str">
        <f t="shared" si="1"/>
        <v>#REF!</v>
      </c>
      <c r="D14" s="87"/>
      <c r="E14" s="87"/>
      <c r="F14" s="87"/>
      <c r="G14" s="87"/>
      <c r="H14" s="87"/>
      <c r="I14" s="87"/>
      <c r="J14" s="87"/>
      <c r="K14" s="87"/>
      <c r="L14" s="87"/>
      <c r="M14" s="87"/>
      <c r="N14" s="87"/>
      <c r="O14" s="87"/>
      <c r="P14" s="87"/>
      <c r="Q14" s="87"/>
      <c r="R14" s="87"/>
      <c r="S14" s="87"/>
      <c r="T14" s="87"/>
      <c r="U14" s="87"/>
      <c r="V14" s="87"/>
      <c r="W14" s="87"/>
      <c r="X14" s="87"/>
      <c r="Y14" s="87"/>
      <c r="Z14" s="87"/>
      <c r="AA14" s="87"/>
      <c r="AB14" s="87"/>
      <c r="AC14" s="87"/>
      <c r="AD14" s="87"/>
      <c r="AE14" s="87"/>
      <c r="AF14" s="87"/>
      <c r="AG14" s="87"/>
    </row>
    <row r="15" ht="14.25" customHeight="1">
      <c r="A15" s="78"/>
      <c r="B15" s="78"/>
      <c r="C15" s="88" t="str">
        <f>IMAGE("https://i.imgur.com/UrLCIlt.jpeg",2)</f>
        <v>#REF!</v>
      </c>
      <c r="D15" s="89" t="str">
        <f>ifs(
len(D$48)=0,""
,len(F$48)&gt;0,IMAGE("https://i.imgur.com/Ktzloz2.jpeg",2)
,len(F$48)=0,IMAGE("https://i.imgur.com/SFEJI4a.jpeg",2))</f>
        <v/>
      </c>
      <c r="E15" s="90"/>
      <c r="F15" s="89" t="str">
        <f>ifs(
len(F$48)=0,""
,len(H$48)&gt;0,IMAGE("https://i.imgur.com/Ktzloz2.jpeg",2)
,len(H$48)=0,IMAGE("https://i.imgur.com/SFEJI4a.jpeg",2))</f>
        <v/>
      </c>
      <c r="G15" s="90"/>
      <c r="H15" s="89" t="str">
        <f>ifs(
len(H$48)=0,""
,len(J$48)&gt;0,IMAGE("https://i.imgur.com/Ktzloz2.jpeg",2)
,len(J$48)=0,IMAGE("https://i.imgur.com/SFEJI4a.jpeg",2))</f>
        <v/>
      </c>
      <c r="I15" s="90"/>
      <c r="J15" s="89" t="str">
        <f>ifs(
len(J$48)=0,""
,len(L$48)&gt;0,IMAGE("https://i.imgur.com/Ktzloz2.jpeg",2)
,len(L$48)=0,IMAGE("https://i.imgur.com/SFEJI4a.jpeg",2))</f>
        <v/>
      </c>
      <c r="K15" s="90"/>
      <c r="L15" s="89" t="str">
        <f>ifs(
len(L$48)=0,""
,len(N$48)&gt;0,IMAGE("https://i.imgur.com/Ktzloz2.jpeg",2)
,len(N$48)=0,IMAGE("https://i.imgur.com/SFEJI4a.jpeg",2))</f>
        <v/>
      </c>
      <c r="M15" s="90"/>
      <c r="N15" s="89" t="str">
        <f>ifs(
len(N$48)=0,""
,len(P$48)&gt;0,IMAGE("https://i.imgur.com/Ktzloz2.jpeg",2)
,len(P$48)=0,IMAGE("https://i.imgur.com/SFEJI4a.jpeg",2))</f>
        <v/>
      </c>
      <c r="O15" s="90"/>
      <c r="P15" s="89" t="str">
        <f>ifs(
len(P$48)=0,""
,len(R$48)&gt;0,IMAGE("https://i.imgur.com/Ktzloz2.jpeg",2)
,len(R$48)=0,IMAGE("https://i.imgur.com/SFEJI4a.jpeg",2))</f>
        <v/>
      </c>
      <c r="Q15" s="90"/>
      <c r="R15" s="89" t="str">
        <f>ifs(
len(R$48)=0,""
,len(T$48)&gt;0,IMAGE("https://i.imgur.com/Ktzloz2.jpeg",2)
,len(T$48)=0,IMAGE("https://i.imgur.com/SFEJI4a.jpeg",2))</f>
        <v/>
      </c>
      <c r="S15" s="90"/>
      <c r="T15" s="89" t="str">
        <f>ifs(
len(T$48)=0,""
,len(V$48)&gt;0,IMAGE("https://i.imgur.com/Ktzloz2.jpeg",2)
,len(V$48)=0,IMAGE("https://i.imgur.com/SFEJI4a.jpeg",2))</f>
        <v/>
      </c>
      <c r="U15" s="90"/>
      <c r="V15" s="89" t="str">
        <f>ifs(
len(V$48)=0,""
,len(X$48)&gt;0,IMAGE("https://i.imgur.com/Ktzloz2.jpeg",2)
,len(X$48)=0,IMAGE("https://i.imgur.com/SFEJI4a.jpeg",2))</f>
        <v/>
      </c>
      <c r="W15" s="90"/>
      <c r="X15" s="89" t="str">
        <f>ifs(
len(X$48)=0,""
,len(Z$48)&gt;0,IMAGE("https://i.imgur.com/Ktzloz2.jpeg",2)
,len(Z$48)=0,IMAGE("https://i.imgur.com/SFEJI4a.jpeg",2))</f>
        <v/>
      </c>
      <c r="Y15" s="90"/>
      <c r="Z15" s="89" t="str">
        <f>ifs(
len(Z$48)=0,""
,len(AB$48)&gt;0,IMAGE("https://i.imgur.com/Ktzloz2.jpeg",2)
,len(AB$48)=0,IMAGE("https://i.imgur.com/SFEJI4a.jpeg",2))</f>
        <v/>
      </c>
      <c r="AA15" s="90"/>
      <c r="AB15" s="89" t="str">
        <f>ifs(
len(AB$48)=0,""
,len(AD$48)&gt;0,IMAGE("https://i.imgur.com/Ktzloz2.jpeg",2)
,len(AD$48)=0,IMAGE("https://i.imgur.com/SFEJI4a.jpeg",2))</f>
        <v/>
      </c>
      <c r="AC15" s="90"/>
      <c r="AD15" s="89" t="str">
        <f>ifs(
len(AD$48)=0,""
,len(AF$48)&gt;0,IMAGE("https://i.imgur.com/Ktzloz2.jpeg",2)
,len(AF$48)=0,IMAGE("https://i.imgur.com/SFEJI4a.jpeg",2))</f>
        <v/>
      </c>
      <c r="AE15" s="90"/>
      <c r="AF15" s="89" t="str">
        <f>ifs(
len(AF$48)=0,""
,len(AH$48)&gt;0,IMAGE("https://i.imgur.com/Ktzloz2.jpeg",2)
,len(AH$48)=0,IMAGE("https://i.imgur.com/SFEJI4a.jpeg",2))</f>
        <v/>
      </c>
      <c r="AG15" s="90"/>
    </row>
    <row r="16" ht="15.75" customHeight="1">
      <c r="A16" s="78"/>
      <c r="B16" s="78"/>
      <c r="C16" s="78"/>
      <c r="D16" s="91" t="str">
        <f t="shared" ref="D16:AG16" si="2">ifs(
len(D$48)=0,""
,len(F$48)&gt;0,""
,len(F$48)=0,"Time")</f>
        <v/>
      </c>
      <c r="E16" s="91" t="str">
        <f t="shared" si="2"/>
        <v/>
      </c>
      <c r="F16" s="91" t="str">
        <f t="shared" si="2"/>
        <v/>
      </c>
      <c r="G16" s="91" t="str">
        <f t="shared" si="2"/>
        <v/>
      </c>
      <c r="H16" s="91" t="str">
        <f t="shared" si="2"/>
        <v/>
      </c>
      <c r="I16" s="91" t="str">
        <f t="shared" si="2"/>
        <v/>
      </c>
      <c r="J16" s="91" t="str">
        <f t="shared" si="2"/>
        <v/>
      </c>
      <c r="K16" s="91" t="str">
        <f t="shared" si="2"/>
        <v/>
      </c>
      <c r="L16" s="91" t="str">
        <f t="shared" si="2"/>
        <v/>
      </c>
      <c r="M16" s="91" t="str">
        <f t="shared" si="2"/>
        <v/>
      </c>
      <c r="N16" s="91" t="str">
        <f t="shared" si="2"/>
        <v/>
      </c>
      <c r="O16" s="91" t="str">
        <f t="shared" si="2"/>
        <v/>
      </c>
      <c r="P16" s="91" t="str">
        <f t="shared" si="2"/>
        <v/>
      </c>
      <c r="Q16" s="91" t="str">
        <f t="shared" si="2"/>
        <v/>
      </c>
      <c r="R16" s="91" t="str">
        <f t="shared" si="2"/>
        <v/>
      </c>
      <c r="S16" s="91" t="str">
        <f t="shared" si="2"/>
        <v/>
      </c>
      <c r="T16" s="91" t="str">
        <f t="shared" si="2"/>
        <v/>
      </c>
      <c r="U16" s="91" t="str">
        <f t="shared" si="2"/>
        <v/>
      </c>
      <c r="V16" s="91" t="str">
        <f t="shared" si="2"/>
        <v/>
      </c>
      <c r="W16" s="91" t="str">
        <f t="shared" si="2"/>
        <v/>
      </c>
      <c r="X16" s="91" t="str">
        <f t="shared" si="2"/>
        <v/>
      </c>
      <c r="Y16" s="91" t="str">
        <f t="shared" si="2"/>
        <v/>
      </c>
      <c r="Z16" s="91" t="str">
        <f t="shared" si="2"/>
        <v/>
      </c>
      <c r="AA16" s="91" t="str">
        <f t="shared" si="2"/>
        <v/>
      </c>
      <c r="AB16" s="91" t="str">
        <f t="shared" si="2"/>
        <v/>
      </c>
      <c r="AC16" s="91" t="str">
        <f t="shared" si="2"/>
        <v/>
      </c>
      <c r="AD16" s="91" t="str">
        <f t="shared" si="2"/>
        <v/>
      </c>
      <c r="AE16" s="91" t="str">
        <f t="shared" si="2"/>
        <v/>
      </c>
      <c r="AF16" s="91" t="str">
        <f t="shared" si="2"/>
        <v/>
      </c>
      <c r="AG16" s="91" t="str">
        <f t="shared" si="2"/>
        <v/>
      </c>
    </row>
    <row r="17" ht="20.25" customHeight="1">
      <c r="A17" s="92"/>
      <c r="B17" s="92"/>
      <c r="C17" s="92"/>
      <c r="D17" s="92"/>
      <c r="E17" s="92"/>
      <c r="F17" s="92"/>
      <c r="G17" s="92"/>
      <c r="H17" s="92"/>
      <c r="I17" s="92"/>
      <c r="J17" s="92"/>
      <c r="K17" s="92"/>
      <c r="L17" s="92"/>
      <c r="M17" s="92"/>
      <c r="N17" s="92"/>
      <c r="O17" s="92"/>
      <c r="P17" s="92"/>
      <c r="Q17" s="92"/>
      <c r="R17" s="92"/>
      <c r="S17" s="92"/>
      <c r="T17" s="92"/>
      <c r="U17" s="92"/>
      <c r="V17" s="92"/>
      <c r="W17" s="92"/>
      <c r="X17" s="92"/>
      <c r="Y17" s="92"/>
      <c r="Z17" s="92"/>
      <c r="AA17" s="92"/>
      <c r="AB17" s="92"/>
      <c r="AC17" s="92"/>
      <c r="AD17" s="92"/>
      <c r="AE17" s="92"/>
      <c r="AF17" s="92"/>
      <c r="AG17" s="92"/>
    </row>
    <row r="18" ht="20.25" customHeight="1">
      <c r="A18" s="92"/>
      <c r="B18" s="92"/>
      <c r="C18" s="93" t="s">
        <v>44</v>
      </c>
      <c r="D18" s="94"/>
      <c r="E18" s="95"/>
      <c r="F18" s="96"/>
      <c r="G18" s="96" t="s">
        <v>45</v>
      </c>
      <c r="H18" s="92"/>
      <c r="I18" s="97" t="s">
        <v>46</v>
      </c>
      <c r="J18" s="98"/>
      <c r="K18" s="99"/>
      <c r="L18" s="100" t="str">
        <f>INPUT!C45</f>
        <v>Optional</v>
      </c>
      <c r="M18" s="99"/>
      <c r="N18" s="101"/>
      <c r="O18" s="92"/>
      <c r="P18" s="92"/>
      <c r="Q18" s="92"/>
      <c r="R18" s="92"/>
      <c r="S18" s="92"/>
      <c r="T18" s="92"/>
      <c r="U18" s="92"/>
      <c r="V18" s="92"/>
      <c r="W18" s="92"/>
      <c r="X18" s="92"/>
      <c r="Y18" s="92"/>
      <c r="Z18" s="92"/>
      <c r="AA18" s="92"/>
      <c r="AB18" s="92"/>
      <c r="AC18" s="92"/>
      <c r="AD18" s="92"/>
      <c r="AE18" s="92"/>
      <c r="AF18" s="92"/>
      <c r="AG18" s="92"/>
    </row>
    <row r="19" ht="20.25" customHeight="1">
      <c r="A19" s="92"/>
      <c r="B19" s="92"/>
      <c r="C19" s="102"/>
      <c r="D19" s="103" t="s">
        <v>47</v>
      </c>
      <c r="E19" s="104"/>
      <c r="F19" s="105"/>
      <c r="G19" s="106" t="str">
        <f t="shared" ref="G19:G22" si="3">sumifs($53:$53,$48:$48,$D19)&amp;" mins, "&amp;text(sumifs($53:$53,$48:$48,$D19)/G$23,"0%")</f>
        <v>0 mins, 0%</v>
      </c>
      <c r="H19" s="92"/>
      <c r="I19" s="92"/>
      <c r="J19" s="92"/>
      <c r="K19" s="92"/>
      <c r="L19" s="101"/>
      <c r="M19" s="101"/>
      <c r="N19" s="101"/>
      <c r="O19" s="92"/>
      <c r="P19" s="92"/>
      <c r="Q19" s="92"/>
      <c r="R19" s="92"/>
      <c r="S19" s="92"/>
      <c r="T19" s="92"/>
      <c r="U19" s="92"/>
      <c r="V19" s="92"/>
      <c r="W19" s="92"/>
      <c r="X19" s="92"/>
      <c r="Y19" s="92"/>
      <c r="Z19" s="92"/>
      <c r="AA19" s="92"/>
      <c r="AB19" s="92"/>
      <c r="AC19" s="92"/>
      <c r="AD19" s="92"/>
      <c r="AE19" s="92"/>
      <c r="AF19" s="92"/>
      <c r="AG19" s="92"/>
    </row>
    <row r="20" ht="20.25" customHeight="1">
      <c r="A20" s="92"/>
      <c r="B20" s="92"/>
      <c r="C20" s="107"/>
      <c r="D20" s="103" t="s">
        <v>48</v>
      </c>
      <c r="E20" s="104"/>
      <c r="F20" s="105"/>
      <c r="G20" s="106" t="str">
        <f t="shared" si="3"/>
        <v>0 mins, 0%</v>
      </c>
      <c r="H20" s="92"/>
      <c r="I20" s="101"/>
      <c r="J20" s="101"/>
      <c r="K20" s="92"/>
      <c r="L20" s="101"/>
      <c r="M20" s="101"/>
      <c r="N20" s="101"/>
      <c r="O20" s="92"/>
      <c r="P20" s="92"/>
      <c r="Q20" s="92"/>
      <c r="R20" s="92"/>
      <c r="S20" s="92"/>
      <c r="T20" s="92"/>
      <c r="U20" s="92"/>
      <c r="V20" s="92"/>
      <c r="W20" s="92"/>
      <c r="X20" s="92"/>
      <c r="Y20" s="92"/>
      <c r="Z20" s="92"/>
      <c r="AA20" s="92"/>
      <c r="AB20" s="92"/>
      <c r="AC20" s="92"/>
      <c r="AD20" s="92"/>
      <c r="AE20" s="92"/>
      <c r="AF20" s="92"/>
      <c r="AG20" s="92"/>
    </row>
    <row r="21" ht="20.25" customHeight="1">
      <c r="A21" s="92"/>
      <c r="B21" s="92"/>
      <c r="C21" s="108"/>
      <c r="D21" s="103" t="s">
        <v>49</v>
      </c>
      <c r="E21" s="104"/>
      <c r="F21" s="105"/>
      <c r="G21" s="106" t="str">
        <f t="shared" si="3"/>
        <v>0 mins, 0%</v>
      </c>
      <c r="H21" s="92"/>
      <c r="I21" s="109" t="s">
        <v>50</v>
      </c>
      <c r="J21" s="101"/>
      <c r="K21" s="92"/>
      <c r="L21" s="92"/>
      <c r="M21" s="92"/>
      <c r="N21" s="92"/>
      <c r="O21" s="92"/>
      <c r="P21" s="92"/>
      <c r="Q21" s="92"/>
      <c r="R21" s="92"/>
      <c r="S21" s="92"/>
      <c r="T21" s="92"/>
      <c r="U21" s="92"/>
      <c r="V21" s="92"/>
      <c r="W21" s="92"/>
      <c r="X21" s="92"/>
      <c r="Y21" s="92"/>
      <c r="Z21" s="92"/>
      <c r="AA21" s="92"/>
      <c r="AB21" s="92"/>
      <c r="AC21" s="92"/>
      <c r="AD21" s="92"/>
      <c r="AE21" s="92"/>
      <c r="AF21" s="92"/>
      <c r="AG21" s="92"/>
    </row>
    <row r="22" ht="20.25" customHeight="1">
      <c r="A22" s="92"/>
      <c r="B22" s="92"/>
      <c r="C22" s="110"/>
      <c r="D22" s="111" t="s">
        <v>51</v>
      </c>
      <c r="E22" s="112"/>
      <c r="F22" s="113"/>
      <c r="G22" s="114" t="str">
        <f t="shared" si="3"/>
        <v>0 mins, 0%</v>
      </c>
      <c r="H22" s="92"/>
      <c r="I22" s="109" t="s">
        <v>52</v>
      </c>
      <c r="J22" s="101"/>
      <c r="K22" s="92"/>
      <c r="L22" s="92"/>
      <c r="M22" s="92"/>
      <c r="N22" s="92"/>
      <c r="O22" s="92"/>
      <c r="P22" s="92"/>
      <c r="Q22" s="92"/>
      <c r="R22" s="115" t="s">
        <v>53</v>
      </c>
      <c r="S22" s="92"/>
      <c r="T22" s="92"/>
      <c r="U22" s="92"/>
      <c r="V22" s="92"/>
      <c r="W22" s="92"/>
      <c r="X22" s="92"/>
      <c r="Y22" s="92"/>
      <c r="Z22" s="92"/>
      <c r="AA22" s="92"/>
      <c r="AB22" s="92"/>
      <c r="AC22" s="92"/>
      <c r="AD22" s="92"/>
      <c r="AE22" s="92"/>
      <c r="AF22" s="92"/>
      <c r="AG22" s="92"/>
    </row>
    <row r="23">
      <c r="A23" s="116"/>
      <c r="B23" s="116"/>
      <c r="C23" s="117"/>
      <c r="D23" s="118"/>
      <c r="E23" s="118"/>
      <c r="F23" s="118"/>
      <c r="G23" s="119">
        <f>sum($53:$53)</f>
        <v>25</v>
      </c>
      <c r="H23" s="118"/>
      <c r="I23" s="109" t="s">
        <v>54</v>
      </c>
      <c r="J23" s="101"/>
      <c r="K23" s="120"/>
      <c r="L23" s="120"/>
      <c r="M23" s="120"/>
      <c r="N23" s="120"/>
      <c r="O23" s="120"/>
      <c r="P23" s="120"/>
      <c r="Q23" s="120"/>
      <c r="R23" s="120"/>
      <c r="S23" s="120"/>
      <c r="T23" s="120"/>
      <c r="U23" s="120"/>
      <c r="V23" s="120"/>
      <c r="W23" s="120"/>
      <c r="X23" s="120"/>
      <c r="Y23" s="120"/>
      <c r="Z23" s="120"/>
      <c r="AA23" s="120"/>
      <c r="AB23" s="120"/>
      <c r="AC23" s="120"/>
      <c r="AD23" s="120"/>
      <c r="AE23" s="120"/>
      <c r="AF23" s="120"/>
      <c r="AG23" s="120"/>
    </row>
    <row r="24">
      <c r="A24" s="116"/>
      <c r="B24" s="116"/>
      <c r="C24" s="117"/>
      <c r="D24" s="118"/>
      <c r="E24" s="118"/>
      <c r="F24" s="118"/>
      <c r="G24" s="121" t="s">
        <v>55</v>
      </c>
      <c r="H24" s="118"/>
      <c r="I24" s="118"/>
      <c r="J24" s="118"/>
      <c r="K24" s="120"/>
      <c r="L24" s="120"/>
      <c r="M24" s="120"/>
      <c r="N24" s="120"/>
      <c r="O24" s="120"/>
      <c r="P24" s="120"/>
      <c r="Q24" s="120"/>
      <c r="R24" s="120"/>
      <c r="S24" s="120"/>
      <c r="T24" s="120"/>
      <c r="U24" s="120"/>
      <c r="V24" s="120"/>
      <c r="W24" s="120"/>
      <c r="X24" s="120"/>
      <c r="Y24" s="120"/>
      <c r="Z24" s="120"/>
      <c r="AA24" s="120"/>
      <c r="AB24" s="120"/>
      <c r="AC24" s="120"/>
      <c r="AD24" s="120"/>
      <c r="AE24" s="120"/>
      <c r="AF24" s="120"/>
      <c r="AG24" s="120"/>
    </row>
    <row r="25">
      <c r="A25" s="116"/>
      <c r="B25" s="116"/>
      <c r="C25" s="116"/>
      <c r="D25" s="116"/>
      <c r="E25" s="116"/>
      <c r="F25" s="116"/>
      <c r="G25" s="116"/>
      <c r="H25" s="116"/>
      <c r="I25" s="116"/>
      <c r="J25" s="116"/>
      <c r="K25" s="116"/>
      <c r="L25" s="116"/>
      <c r="M25" s="116"/>
      <c r="N25" s="116"/>
      <c r="O25" s="116"/>
      <c r="P25" s="116"/>
      <c r="Q25" s="116"/>
      <c r="R25" s="116"/>
      <c r="S25" s="116"/>
      <c r="T25" s="116"/>
      <c r="U25" s="116"/>
      <c r="V25" s="116"/>
      <c r="W25" s="116"/>
      <c r="X25" s="116"/>
      <c r="Y25" s="116"/>
      <c r="Z25" s="116"/>
      <c r="AA25" s="116"/>
      <c r="AB25" s="116"/>
      <c r="AC25" s="116"/>
      <c r="AD25" s="116"/>
      <c r="AE25" s="116"/>
      <c r="AF25" s="116"/>
      <c r="AG25" s="116"/>
    </row>
    <row r="26">
      <c r="A26" s="116"/>
      <c r="B26" s="116"/>
      <c r="C26" s="116"/>
      <c r="D26" s="116"/>
      <c r="E26" s="116"/>
      <c r="F26" s="116"/>
      <c r="G26" s="116"/>
      <c r="H26" s="116"/>
      <c r="I26" s="116"/>
      <c r="J26" s="116"/>
      <c r="K26" s="116"/>
      <c r="L26" s="116"/>
      <c r="M26" s="116"/>
      <c r="N26" s="116"/>
      <c r="O26" s="116"/>
      <c r="P26" s="116"/>
      <c r="Q26" s="116"/>
      <c r="R26" s="116"/>
      <c r="S26" s="116"/>
      <c r="T26" s="116"/>
      <c r="U26" s="116"/>
      <c r="V26" s="116"/>
      <c r="W26" s="116"/>
      <c r="X26" s="116"/>
      <c r="Y26" s="116"/>
      <c r="Z26" s="116"/>
      <c r="AA26" s="116"/>
      <c r="AB26" s="116"/>
      <c r="AC26" s="116"/>
      <c r="AD26" s="116"/>
      <c r="AE26" s="116"/>
      <c r="AF26" s="116"/>
      <c r="AG26" s="116"/>
    </row>
    <row r="27">
      <c r="A27" s="116"/>
      <c r="B27" s="116"/>
      <c r="C27" s="116"/>
      <c r="D27" s="116"/>
      <c r="E27" s="116"/>
      <c r="F27" s="116"/>
      <c r="G27" s="116"/>
      <c r="H27" s="116"/>
      <c r="I27" s="116"/>
      <c r="J27" s="116"/>
      <c r="K27" s="116"/>
      <c r="L27" s="116"/>
      <c r="M27" s="116"/>
      <c r="N27" s="116"/>
      <c r="O27" s="116"/>
      <c r="P27" s="116"/>
      <c r="Q27" s="116"/>
      <c r="R27" s="116"/>
      <c r="S27" s="116"/>
      <c r="T27" s="116"/>
      <c r="U27" s="116"/>
      <c r="V27" s="116"/>
      <c r="W27" s="116"/>
      <c r="X27" s="116"/>
      <c r="Y27" s="116"/>
      <c r="Z27" s="116"/>
      <c r="AA27" s="116"/>
      <c r="AB27" s="116"/>
      <c r="AC27" s="116"/>
      <c r="AD27" s="116"/>
      <c r="AE27" s="116"/>
      <c r="AF27" s="116"/>
      <c r="AG27" s="116"/>
    </row>
    <row r="28">
      <c r="A28" s="116"/>
      <c r="B28" s="116"/>
      <c r="C28" s="116"/>
      <c r="D28" s="116"/>
      <c r="E28" s="116"/>
      <c r="F28" s="116"/>
      <c r="G28" s="116"/>
      <c r="H28" s="116"/>
      <c r="I28" s="116"/>
      <c r="J28" s="116"/>
      <c r="K28" s="116"/>
      <c r="L28" s="116"/>
      <c r="M28" s="116"/>
      <c r="N28" s="116"/>
      <c r="O28" s="116"/>
      <c r="P28" s="116"/>
      <c r="Q28" s="116"/>
      <c r="R28" s="116"/>
      <c r="S28" s="116"/>
      <c r="T28" s="116"/>
      <c r="U28" s="116"/>
      <c r="V28" s="116"/>
      <c r="W28" s="116"/>
      <c r="X28" s="116"/>
      <c r="Y28" s="116"/>
      <c r="Z28" s="116"/>
      <c r="AA28" s="116"/>
      <c r="AB28" s="116"/>
      <c r="AC28" s="116"/>
      <c r="AD28" s="116"/>
      <c r="AE28" s="116"/>
      <c r="AF28" s="116"/>
      <c r="AG28" s="116"/>
    </row>
    <row r="29">
      <c r="A29" s="116"/>
      <c r="B29" s="116"/>
      <c r="C29" s="116"/>
      <c r="D29" s="116"/>
      <c r="E29" s="116"/>
      <c r="F29" s="116"/>
      <c r="G29" s="116"/>
      <c r="H29" s="116"/>
      <c r="I29" s="116"/>
      <c r="J29" s="116"/>
      <c r="K29" s="116"/>
      <c r="L29" s="116"/>
      <c r="M29" s="116"/>
      <c r="N29" s="116"/>
      <c r="O29" s="116"/>
      <c r="P29" s="116"/>
      <c r="Q29" s="116"/>
      <c r="R29" s="116"/>
      <c r="S29" s="116"/>
      <c r="T29" s="116"/>
      <c r="U29" s="116"/>
      <c r="V29" s="116"/>
      <c r="W29" s="116"/>
      <c r="X29" s="116"/>
      <c r="Y29" s="116"/>
      <c r="Z29" s="116"/>
      <c r="AA29" s="116"/>
      <c r="AB29" s="116"/>
      <c r="AC29" s="116"/>
      <c r="AD29" s="116"/>
      <c r="AE29" s="116"/>
      <c r="AF29" s="116"/>
      <c r="AG29" s="116"/>
    </row>
    <row r="30">
      <c r="A30" s="116"/>
      <c r="B30" s="116"/>
      <c r="C30" s="116"/>
      <c r="D30" s="116"/>
      <c r="E30" s="116"/>
      <c r="F30" s="116"/>
      <c r="G30" s="116"/>
      <c r="H30" s="116"/>
      <c r="I30" s="116"/>
      <c r="J30" s="116"/>
      <c r="K30" s="116"/>
      <c r="L30" s="116"/>
      <c r="M30" s="116"/>
      <c r="N30" s="116"/>
      <c r="O30" s="116"/>
      <c r="P30" s="116"/>
      <c r="Q30" s="116"/>
      <c r="R30" s="116"/>
      <c r="S30" s="116"/>
      <c r="T30" s="116"/>
      <c r="U30" s="116"/>
      <c r="V30" s="116"/>
      <c r="W30" s="116"/>
      <c r="X30" s="116"/>
      <c r="Y30" s="116"/>
      <c r="Z30" s="116"/>
      <c r="AA30" s="116"/>
      <c r="AB30" s="116"/>
      <c r="AC30" s="116"/>
      <c r="AD30" s="116"/>
      <c r="AE30" s="116"/>
      <c r="AF30" s="116"/>
      <c r="AG30" s="116"/>
    </row>
    <row r="31">
      <c r="A31" s="116"/>
      <c r="B31" s="116"/>
      <c r="C31" s="116"/>
      <c r="D31" s="116"/>
      <c r="E31" s="116"/>
      <c r="F31" s="116"/>
      <c r="G31" s="116"/>
      <c r="H31" s="116"/>
      <c r="I31" s="116"/>
      <c r="J31" s="116"/>
      <c r="K31" s="116"/>
      <c r="L31" s="116"/>
      <c r="M31" s="116"/>
      <c r="N31" s="116"/>
      <c r="O31" s="116"/>
      <c r="P31" s="116"/>
      <c r="Q31" s="116"/>
      <c r="R31" s="116"/>
      <c r="S31" s="116"/>
      <c r="T31" s="116"/>
      <c r="U31" s="116"/>
      <c r="V31" s="116"/>
      <c r="W31" s="116"/>
      <c r="X31" s="116"/>
      <c r="Y31" s="116"/>
      <c r="Z31" s="116"/>
      <c r="AA31" s="116"/>
      <c r="AB31" s="116"/>
      <c r="AC31" s="116"/>
      <c r="AD31" s="116"/>
      <c r="AE31" s="116"/>
      <c r="AF31" s="116"/>
      <c r="AG31" s="116"/>
    </row>
    <row r="32">
      <c r="A32" s="116"/>
      <c r="B32" s="116"/>
      <c r="C32" s="116"/>
      <c r="D32" s="116"/>
      <c r="E32" s="116"/>
      <c r="F32" s="116"/>
      <c r="G32" s="116"/>
      <c r="H32" s="116"/>
      <c r="I32" s="116"/>
      <c r="J32" s="116"/>
      <c r="K32" s="116"/>
      <c r="L32" s="116"/>
      <c r="M32" s="116"/>
      <c r="N32" s="116"/>
      <c r="O32" s="116"/>
      <c r="P32" s="116"/>
      <c r="Q32" s="116"/>
      <c r="R32" s="116"/>
      <c r="S32" s="116"/>
      <c r="T32" s="116"/>
      <c r="U32" s="116"/>
      <c r="V32" s="116"/>
      <c r="W32" s="116"/>
      <c r="X32" s="116"/>
      <c r="Y32" s="116"/>
      <c r="Z32" s="116"/>
      <c r="AA32" s="116"/>
      <c r="AB32" s="116"/>
      <c r="AC32" s="116"/>
      <c r="AD32" s="116"/>
      <c r="AE32" s="116"/>
      <c r="AF32" s="116"/>
      <c r="AG32" s="116"/>
    </row>
    <row r="33">
      <c r="A33" s="116"/>
      <c r="B33" s="116"/>
      <c r="C33" s="116"/>
      <c r="D33" s="116"/>
      <c r="E33" s="116"/>
      <c r="F33" s="116"/>
      <c r="G33" s="116"/>
      <c r="H33" s="116"/>
      <c r="I33" s="116"/>
      <c r="J33" s="116"/>
      <c r="K33" s="116"/>
      <c r="L33" s="116"/>
      <c r="M33" s="116"/>
      <c r="N33" s="116"/>
      <c r="O33" s="116"/>
      <c r="P33" s="116"/>
      <c r="Q33" s="116"/>
      <c r="R33" s="116"/>
      <c r="S33" s="116"/>
      <c r="T33" s="116"/>
      <c r="U33" s="116"/>
      <c r="V33" s="116"/>
      <c r="W33" s="116"/>
      <c r="X33" s="116"/>
      <c r="Y33" s="116"/>
      <c r="Z33" s="116"/>
      <c r="AA33" s="116"/>
      <c r="AB33" s="116"/>
      <c r="AC33" s="116"/>
      <c r="AD33" s="116"/>
      <c r="AE33" s="116"/>
      <c r="AF33" s="116"/>
      <c r="AG33" s="116"/>
    </row>
    <row r="34">
      <c r="A34" s="116"/>
      <c r="B34" s="116"/>
      <c r="C34" s="116"/>
      <c r="D34" s="116"/>
      <c r="E34" s="116"/>
      <c r="F34" s="116"/>
      <c r="G34" s="116"/>
      <c r="H34" s="116"/>
      <c r="I34" s="116"/>
      <c r="J34" s="116"/>
      <c r="K34" s="116"/>
      <c r="L34" s="116"/>
      <c r="M34" s="116"/>
      <c r="N34" s="116"/>
      <c r="O34" s="116"/>
      <c r="P34" s="116"/>
      <c r="Q34" s="116"/>
      <c r="R34" s="116"/>
      <c r="S34" s="116"/>
      <c r="T34" s="116"/>
      <c r="U34" s="116"/>
      <c r="V34" s="116"/>
      <c r="W34" s="116"/>
      <c r="X34" s="116"/>
      <c r="Y34" s="116"/>
      <c r="Z34" s="116"/>
      <c r="AA34" s="116"/>
      <c r="AB34" s="116"/>
      <c r="AC34" s="116"/>
      <c r="AD34" s="116"/>
      <c r="AE34" s="116"/>
      <c r="AF34" s="116"/>
      <c r="AG34" s="116"/>
    </row>
    <row r="35">
      <c r="A35" s="116"/>
      <c r="B35" s="116"/>
      <c r="C35" s="116"/>
      <c r="D35" s="116"/>
      <c r="E35" s="116"/>
      <c r="F35" s="116"/>
      <c r="G35" s="116"/>
      <c r="H35" s="116"/>
      <c r="I35" s="116"/>
      <c r="J35" s="116"/>
      <c r="K35" s="116"/>
      <c r="L35" s="116"/>
      <c r="M35" s="116"/>
      <c r="N35" s="116"/>
      <c r="O35" s="116"/>
      <c r="P35" s="116"/>
      <c r="Q35" s="116"/>
      <c r="R35" s="116"/>
      <c r="S35" s="116"/>
      <c r="T35" s="116"/>
      <c r="U35" s="116"/>
      <c r="V35" s="116"/>
      <c r="W35" s="116"/>
      <c r="X35" s="116"/>
      <c r="Y35" s="116"/>
      <c r="Z35" s="116"/>
      <c r="AA35" s="116"/>
      <c r="AB35" s="116"/>
      <c r="AC35" s="116"/>
      <c r="AD35" s="116"/>
      <c r="AE35" s="116"/>
      <c r="AF35" s="116"/>
      <c r="AG35" s="116"/>
    </row>
    <row r="36">
      <c r="A36" s="116"/>
      <c r="B36" s="116"/>
      <c r="C36" s="116"/>
      <c r="D36" s="116"/>
      <c r="E36" s="116"/>
      <c r="F36" s="116"/>
      <c r="G36" s="116"/>
      <c r="H36" s="116"/>
      <c r="I36" s="116"/>
      <c r="J36" s="116"/>
      <c r="K36" s="116"/>
      <c r="L36" s="116"/>
      <c r="M36" s="116"/>
      <c r="N36" s="116"/>
      <c r="O36" s="116"/>
      <c r="P36" s="116"/>
      <c r="Q36" s="116"/>
      <c r="R36" s="116"/>
      <c r="S36" s="116"/>
      <c r="T36" s="116"/>
      <c r="U36" s="116"/>
      <c r="V36" s="116"/>
      <c r="W36" s="116"/>
      <c r="X36" s="116"/>
      <c r="Y36" s="116"/>
      <c r="Z36" s="116"/>
      <c r="AA36" s="116"/>
      <c r="AB36" s="116"/>
      <c r="AC36" s="116"/>
      <c r="AD36" s="116"/>
      <c r="AE36" s="116"/>
      <c r="AF36" s="116"/>
      <c r="AG36" s="116"/>
    </row>
    <row r="37">
      <c r="A37" s="116"/>
      <c r="B37" s="116"/>
      <c r="C37" s="116"/>
      <c r="D37" s="116"/>
      <c r="E37" s="116"/>
      <c r="F37" s="116"/>
      <c r="G37" s="116"/>
      <c r="H37" s="116"/>
      <c r="I37" s="116"/>
      <c r="J37" s="116"/>
      <c r="K37" s="116"/>
      <c r="L37" s="116"/>
      <c r="M37" s="116"/>
      <c r="N37" s="116"/>
      <c r="O37" s="116"/>
      <c r="P37" s="116"/>
      <c r="Q37" s="116"/>
      <c r="R37" s="116"/>
      <c r="S37" s="116"/>
      <c r="T37" s="116"/>
      <c r="U37" s="116"/>
      <c r="V37" s="116"/>
      <c r="W37" s="116"/>
      <c r="X37" s="116"/>
      <c r="Y37" s="116"/>
      <c r="Z37" s="116"/>
      <c r="AA37" s="116"/>
      <c r="AB37" s="116"/>
      <c r="AC37" s="116"/>
      <c r="AD37" s="116"/>
      <c r="AE37" s="116"/>
      <c r="AF37" s="116"/>
      <c r="AG37" s="116"/>
    </row>
    <row r="38">
      <c r="A38" s="116"/>
      <c r="B38" s="116"/>
      <c r="C38" s="116"/>
      <c r="D38" s="116"/>
      <c r="E38" s="116"/>
      <c r="F38" s="116"/>
      <c r="G38" s="116"/>
      <c r="H38" s="116"/>
      <c r="I38" s="116"/>
      <c r="J38" s="116"/>
      <c r="K38" s="116"/>
      <c r="L38" s="116"/>
      <c r="M38" s="116"/>
      <c r="N38" s="116"/>
      <c r="O38" s="116"/>
      <c r="P38" s="116"/>
      <c r="Q38" s="116"/>
      <c r="R38" s="116"/>
      <c r="S38" s="116"/>
      <c r="T38" s="116"/>
      <c r="U38" s="116"/>
      <c r="V38" s="116"/>
      <c r="W38" s="116"/>
      <c r="X38" s="116"/>
      <c r="Y38" s="116"/>
      <c r="Z38" s="116"/>
      <c r="AA38" s="116"/>
      <c r="AB38" s="116"/>
      <c r="AC38" s="116"/>
      <c r="AD38" s="116"/>
      <c r="AE38" s="116"/>
      <c r="AF38" s="116"/>
      <c r="AG38" s="116"/>
    </row>
    <row r="39">
      <c r="A39" s="116"/>
      <c r="B39" s="116"/>
      <c r="C39" s="116"/>
      <c r="D39" s="116"/>
      <c r="E39" s="116"/>
      <c r="F39" s="116"/>
      <c r="G39" s="116"/>
      <c r="H39" s="116"/>
      <c r="I39" s="116"/>
      <c r="J39" s="116"/>
      <c r="K39" s="116"/>
      <c r="L39" s="116"/>
      <c r="M39" s="116"/>
      <c r="N39" s="116"/>
      <c r="O39" s="116"/>
      <c r="P39" s="116"/>
      <c r="Q39" s="116"/>
      <c r="R39" s="116"/>
      <c r="S39" s="116"/>
      <c r="T39" s="116"/>
      <c r="U39" s="116"/>
      <c r="V39" s="116"/>
      <c r="W39" s="116"/>
      <c r="X39" s="116"/>
      <c r="Y39" s="116"/>
      <c r="Z39" s="116"/>
      <c r="AA39" s="116"/>
      <c r="AB39" s="116"/>
      <c r="AC39" s="116"/>
      <c r="AD39" s="116"/>
      <c r="AE39" s="116"/>
      <c r="AF39" s="116"/>
      <c r="AG39" s="116"/>
    </row>
    <row r="40">
      <c r="A40" s="116"/>
      <c r="B40" s="116"/>
      <c r="C40" s="116"/>
      <c r="D40" s="116"/>
      <c r="E40" s="116"/>
      <c r="F40" s="116"/>
      <c r="G40" s="116"/>
      <c r="H40" s="116"/>
      <c r="I40" s="116"/>
      <c r="J40" s="116"/>
      <c r="K40" s="116"/>
      <c r="L40" s="116"/>
      <c r="M40" s="116"/>
      <c r="N40" s="116"/>
      <c r="O40" s="116"/>
      <c r="P40" s="116"/>
      <c r="Q40" s="116"/>
      <c r="R40" s="116"/>
      <c r="S40" s="116"/>
      <c r="T40" s="116"/>
      <c r="U40" s="116"/>
      <c r="V40" s="116"/>
      <c r="W40" s="116"/>
      <c r="X40" s="116"/>
      <c r="Y40" s="116"/>
      <c r="Z40" s="116"/>
      <c r="AA40" s="116"/>
      <c r="AB40" s="116"/>
      <c r="AC40" s="116"/>
      <c r="AD40" s="116"/>
      <c r="AE40" s="116"/>
      <c r="AF40" s="116"/>
      <c r="AG40" s="116"/>
    </row>
    <row r="41">
      <c r="A41" s="116"/>
      <c r="B41" s="116"/>
      <c r="C41" s="116"/>
      <c r="D41" s="116"/>
      <c r="E41" s="116"/>
      <c r="F41" s="116"/>
      <c r="G41" s="116"/>
      <c r="H41" s="116"/>
      <c r="I41" s="116"/>
      <c r="J41" s="116"/>
      <c r="K41" s="116"/>
      <c r="L41" s="116"/>
      <c r="M41" s="116"/>
      <c r="N41" s="116"/>
      <c r="O41" s="116"/>
      <c r="P41" s="116"/>
      <c r="Q41" s="116"/>
      <c r="R41" s="116"/>
      <c r="S41" s="116"/>
      <c r="T41" s="116"/>
      <c r="U41" s="116"/>
      <c r="V41" s="116"/>
      <c r="W41" s="116"/>
      <c r="X41" s="116"/>
      <c r="Y41" s="116"/>
      <c r="Z41" s="116"/>
      <c r="AA41" s="116"/>
      <c r="AB41" s="116"/>
      <c r="AC41" s="116"/>
      <c r="AD41" s="116"/>
      <c r="AE41" s="116"/>
      <c r="AF41" s="116"/>
      <c r="AG41" s="116"/>
    </row>
    <row r="42">
      <c r="A42" s="116"/>
      <c r="B42" s="116"/>
      <c r="C42" s="116"/>
      <c r="D42" s="116"/>
      <c r="E42" s="116"/>
      <c r="F42" s="116"/>
      <c r="G42" s="116"/>
      <c r="H42" s="116"/>
      <c r="I42" s="116"/>
      <c r="J42" s="116"/>
      <c r="K42" s="116"/>
      <c r="L42" s="116"/>
      <c r="M42" s="116"/>
      <c r="N42" s="116"/>
      <c r="O42" s="116"/>
      <c r="P42" s="116"/>
      <c r="Q42" s="116"/>
      <c r="R42" s="116"/>
      <c r="S42" s="116"/>
      <c r="T42" s="116"/>
      <c r="U42" s="116"/>
      <c r="V42" s="116"/>
      <c r="W42" s="116"/>
      <c r="X42" s="116"/>
      <c r="Y42" s="116"/>
      <c r="Z42" s="116"/>
      <c r="AA42" s="116"/>
      <c r="AB42" s="116"/>
      <c r="AC42" s="116"/>
      <c r="AD42" s="116"/>
      <c r="AE42" s="116"/>
      <c r="AF42" s="116"/>
      <c r="AG42" s="116"/>
    </row>
    <row r="43" collapsed="1">
      <c r="A43" s="116"/>
      <c r="B43" s="116"/>
      <c r="C43" s="116"/>
      <c r="D43" s="116"/>
      <c r="E43" s="116"/>
      <c r="F43" s="116"/>
      <c r="G43" s="116"/>
      <c r="H43" s="116"/>
      <c r="I43" s="116"/>
      <c r="J43" s="116"/>
      <c r="K43" s="116"/>
      <c r="L43" s="116"/>
      <c r="M43" s="116"/>
      <c r="N43" s="116"/>
      <c r="O43" s="116"/>
      <c r="P43" s="116"/>
      <c r="Q43" s="116"/>
      <c r="R43" s="116"/>
      <c r="S43" s="116"/>
      <c r="T43" s="116"/>
      <c r="U43" s="116"/>
      <c r="V43" s="116"/>
      <c r="W43" s="116"/>
      <c r="X43" s="116"/>
      <c r="Y43" s="116"/>
      <c r="Z43" s="116"/>
      <c r="AA43" s="116"/>
      <c r="AB43" s="116"/>
      <c r="AC43" s="116"/>
      <c r="AD43" s="116"/>
      <c r="AE43" s="116"/>
      <c r="AF43" s="116"/>
      <c r="AG43" s="116"/>
    </row>
    <row r="44" hidden="1" outlineLevel="1">
      <c r="A44" s="116"/>
      <c r="B44" s="122" t="s">
        <v>56</v>
      </c>
      <c r="C44" s="123"/>
      <c r="D44" s="124"/>
      <c r="E44" s="124"/>
      <c r="F44" s="124"/>
      <c r="G44" s="124"/>
      <c r="H44" s="124"/>
      <c r="I44" s="124"/>
      <c r="J44" s="124"/>
      <c r="K44" s="124"/>
      <c r="L44" s="124"/>
      <c r="M44" s="124"/>
      <c r="N44" s="124"/>
      <c r="O44" s="124"/>
      <c r="P44" s="124"/>
      <c r="Q44" s="124"/>
      <c r="R44" s="124"/>
      <c r="S44" s="124"/>
      <c r="T44" s="124"/>
      <c r="U44" s="124"/>
      <c r="V44" s="124"/>
      <c r="W44" s="124"/>
      <c r="X44" s="124"/>
      <c r="Y44" s="124"/>
      <c r="Z44" s="124"/>
      <c r="AA44" s="124"/>
      <c r="AB44" s="124"/>
      <c r="AC44" s="124"/>
      <c r="AD44" s="124"/>
      <c r="AE44" s="124"/>
      <c r="AF44" s="124"/>
      <c r="AG44" s="124"/>
    </row>
    <row r="45" hidden="1" outlineLevel="1">
      <c r="A45" s="116"/>
      <c r="B45" s="125" t="s">
        <v>16</v>
      </c>
      <c r="C45" s="126"/>
      <c r="D45" s="127">
        <v>1.0</v>
      </c>
      <c r="E45" s="127" t="s">
        <v>57</v>
      </c>
      <c r="F45" s="127">
        <f>D45+1</f>
        <v>2</v>
      </c>
      <c r="G45" s="127" t="s">
        <v>57</v>
      </c>
      <c r="H45" s="127">
        <f>F45+1</f>
        <v>3</v>
      </c>
      <c r="I45" s="127" t="s">
        <v>57</v>
      </c>
      <c r="J45" s="127">
        <f>H45+1</f>
        <v>4</v>
      </c>
      <c r="K45" s="127" t="s">
        <v>57</v>
      </c>
      <c r="L45" s="127">
        <f>J45+1</f>
        <v>5</v>
      </c>
      <c r="M45" s="127" t="s">
        <v>57</v>
      </c>
      <c r="N45" s="127">
        <f>L45+1</f>
        <v>6</v>
      </c>
      <c r="O45" s="127" t="s">
        <v>57</v>
      </c>
      <c r="P45" s="127">
        <f>N45+1</f>
        <v>7</v>
      </c>
      <c r="Q45" s="127" t="s">
        <v>57</v>
      </c>
      <c r="R45" s="127">
        <f>P45+1</f>
        <v>8</v>
      </c>
      <c r="S45" s="127" t="s">
        <v>57</v>
      </c>
      <c r="T45" s="127">
        <f>R45+1</f>
        <v>9</v>
      </c>
      <c r="U45" s="127" t="s">
        <v>57</v>
      </c>
      <c r="V45" s="127">
        <f>T45+1</f>
        <v>10</v>
      </c>
      <c r="W45" s="127" t="s">
        <v>57</v>
      </c>
      <c r="X45" s="127">
        <f>V45+1</f>
        <v>11</v>
      </c>
      <c r="Y45" s="127" t="s">
        <v>57</v>
      </c>
      <c r="Z45" s="127">
        <f>X45+1</f>
        <v>12</v>
      </c>
      <c r="AA45" s="127" t="s">
        <v>57</v>
      </c>
      <c r="AB45" s="127">
        <f>Z45+1</f>
        <v>13</v>
      </c>
      <c r="AC45" s="127" t="s">
        <v>57</v>
      </c>
      <c r="AD45" s="127">
        <f>AB45+1</f>
        <v>14</v>
      </c>
      <c r="AE45" s="127" t="s">
        <v>57</v>
      </c>
      <c r="AF45" s="127">
        <f>AD45+1</f>
        <v>15</v>
      </c>
      <c r="AG45" s="127" t="s">
        <v>57</v>
      </c>
    </row>
    <row r="46" hidden="1" outlineLevel="1">
      <c r="A46" s="116"/>
      <c r="B46" s="128" t="str">
        <f>INPUT!H27</f>
        <v>[Optional] 
Key Applications of Technology</v>
      </c>
      <c r="C46" s="126"/>
      <c r="D46" s="129" t="str">
        <f t="array" ref="D46">iferror(index(INPUT!$A$27:$H$43,match(D$45,INPUT!$A$27:$A$43,0),match($B46,INPUT!$A$27:$H$27,0)),"")</f>
        <v>Facilitate Learning Together</v>
      </c>
      <c r="E46" s="129"/>
      <c r="F46" s="129" t="str">
        <f t="array" ref="F46">iferror(index(INPUT!$A$27:$H$43,match(F$45,INPUT!$A$27:$A$43,0),match($B46,INPUT!$A$27:$H$27,0)),"")</f>
        <v/>
      </c>
      <c r="G46" s="129"/>
      <c r="H46" s="129" t="str">
        <f t="array" ref="H46">iferror(index(INPUT!$A$27:$H$43,match(H$45,INPUT!$A$27:$A$43,0),match($B46,INPUT!$A$27:$H$27,0)),"")</f>
        <v/>
      </c>
      <c r="I46" s="129"/>
      <c r="J46" s="129" t="str">
        <f t="array" ref="J46">iferror(index(INPUT!$A$27:$H$43,match(J$45,INPUT!$A$27:$A$43,0),match($B46,INPUT!$A$27:$H$27,0)),"")</f>
        <v/>
      </c>
      <c r="K46" s="129"/>
      <c r="L46" s="129" t="str">
        <f t="array" ref="L46">iferror(index(INPUT!$A$27:$H$43,match(L$45,INPUT!$A$27:$A$43,0),match($B46,INPUT!$A$27:$H$27,0)),"")</f>
        <v/>
      </c>
      <c r="M46" s="129"/>
      <c r="N46" s="129" t="str">
        <f t="array" ref="N46">iferror(index(INPUT!$A$27:$H$43,match(N$45,INPUT!$A$27:$A$43,0),match($B46,INPUT!$A$27:$H$27,0)),"")</f>
        <v/>
      </c>
      <c r="O46" s="129"/>
      <c r="P46" s="129" t="str">
        <f t="array" ref="P46">iferror(index(INPUT!$A$27:$H$43,match(P$45,INPUT!$A$27:$A$43,0),match($B46,INPUT!$A$27:$H$27,0)),"")</f>
        <v/>
      </c>
      <c r="Q46" s="129"/>
      <c r="R46" s="129" t="str">
        <f t="array" ref="R46">iferror(index(INPUT!$A$27:$H$43,match(R$45,INPUT!$A$27:$A$43,0),match($B46,INPUT!$A$27:$H$27,0)),"")</f>
        <v/>
      </c>
      <c r="S46" s="129"/>
      <c r="T46" s="129" t="str">
        <f t="array" ref="T46">iferror(index(INPUT!$A$27:$H$43,match(T$45,INPUT!$A$27:$A$43,0),match($B46,INPUT!$A$27:$H$27,0)),"")</f>
        <v/>
      </c>
      <c r="U46" s="129"/>
      <c r="V46" s="129" t="str">
        <f t="array" ref="V46">iferror(index(INPUT!$A$27:$H$43,match(V$45,INPUT!$A$27:$A$43,0),match($B46,INPUT!$A$27:$H$27,0)),"")</f>
        <v/>
      </c>
      <c r="W46" s="129"/>
      <c r="X46" s="129" t="str">
        <f t="array" ref="X46">iferror(index(INPUT!$A$27:$H$43,match(X$45,INPUT!$A$27:$A$43,0),match($B46,INPUT!$A$27:$H$27,0)),"")</f>
        <v/>
      </c>
      <c r="Y46" s="129"/>
      <c r="Z46" s="129" t="str">
        <f t="array" ref="Z46">iferror(index(INPUT!$A$27:$H$43,match(Z$45,INPUT!$A$27:$A$43,0),match($B46,INPUT!$A$27:$H$27,0)),"")</f>
        <v/>
      </c>
      <c r="AA46" s="129"/>
      <c r="AB46" s="129" t="str">
        <f t="array" ref="AB46">iferror(index(INPUT!$A$27:$H$43,match(AB$45,INPUT!$A$27:$A$43,0),match($B46,INPUT!$A$27:$H$27,0)),"")</f>
        <v/>
      </c>
      <c r="AC46" s="129"/>
      <c r="AD46" s="129" t="str">
        <f t="array" ref="AD46">iferror(index(INPUT!$A$27:$H$43,match(AD$45,INPUT!$A$27:$A$43,0),match($B46,INPUT!$A$27:$H$27,0)),"")</f>
        <v/>
      </c>
      <c r="AE46" s="129"/>
      <c r="AF46" s="129" t="str">
        <f t="array" ref="AF46">iferror(index(INPUT!$A$27:$H$43,match(AF$45,INPUT!$A$27:$A$43,0),match($B46,INPUT!$A$27:$H$27,0)),"")</f>
        <v/>
      </c>
      <c r="AG46" s="129"/>
    </row>
    <row r="47" hidden="1" outlineLevel="1">
      <c r="A47" s="116"/>
      <c r="B47" s="125" t="s">
        <v>58</v>
      </c>
      <c r="C47" s="126"/>
      <c r="D47" s="130" t="str">
        <f t="array" ref="D47">iferror(index(LEGEND!$C:$C,match(D$46,LEGEND!$B:$B,0),1),"")</f>
        <v>https://imgur.com/I6filTP.png</v>
      </c>
      <c r="E47" s="131"/>
      <c r="F47" s="131" t="str">
        <f t="array" ref="F47">iferror(index(LEGEND!$C:$C,match(F$46,LEGEND!$B:$B,0),1),"")</f>
        <v/>
      </c>
      <c r="G47" s="131"/>
      <c r="H47" s="131" t="str">
        <f t="array" ref="H47">iferror(index(LEGEND!$C:$C,match(H$46,LEGEND!$B:$B,0),1),"")</f>
        <v/>
      </c>
      <c r="I47" s="131"/>
      <c r="J47" s="131" t="str">
        <f t="array" ref="J47">iferror(index(LEGEND!$C:$C,match(J$46,LEGEND!$B:$B,0),1),"")</f>
        <v/>
      </c>
      <c r="K47" s="131"/>
      <c r="L47" s="131" t="str">
        <f t="array" ref="L47">iferror(index(LEGEND!$C:$C,match(L$46,LEGEND!$B:$B,0),1),"")</f>
        <v/>
      </c>
      <c r="M47" s="131"/>
      <c r="N47" s="131" t="str">
        <f t="array" ref="N47">iferror(index(LEGEND!$C:$C,match(N$46,LEGEND!$B:$B,0),1),"")</f>
        <v/>
      </c>
      <c r="O47" s="131"/>
      <c r="P47" s="131" t="str">
        <f t="array" ref="P47">iferror(index(LEGEND!$C:$C,match(P$46,LEGEND!$B:$B,0),1),"")</f>
        <v/>
      </c>
      <c r="Q47" s="131"/>
      <c r="R47" s="131" t="str">
        <f t="array" ref="R47">iferror(index(LEGEND!$C:$C,match(R$46,LEGEND!$B:$B,0),1),"")</f>
        <v/>
      </c>
      <c r="S47" s="131"/>
      <c r="T47" s="131" t="str">
        <f t="array" ref="T47">iferror(index(LEGEND!$C:$C,match(T$46,LEGEND!$B:$B,0),1),"")</f>
        <v/>
      </c>
      <c r="U47" s="131"/>
      <c r="V47" s="131" t="str">
        <f t="array" ref="V47">iferror(index(LEGEND!$C:$C,match(V$46,LEGEND!$B:$B,0),1),"")</f>
        <v/>
      </c>
      <c r="W47" s="131"/>
      <c r="X47" s="131" t="str">
        <f t="array" ref="X47">iferror(index(LEGEND!$C:$C,match(X$46,LEGEND!$B:$B,0),1),"")</f>
        <v/>
      </c>
      <c r="Y47" s="131"/>
      <c r="Z47" s="131" t="str">
        <f t="array" ref="Z47">iferror(index(LEGEND!$C:$C,match(Z$46,LEGEND!$B:$B,0),1),"")</f>
        <v/>
      </c>
      <c r="AA47" s="131"/>
      <c r="AB47" s="131" t="str">
        <f t="array" ref="AB47">iferror(index(LEGEND!$C:$C,match(AB$46,LEGEND!$B:$B,0),1),"")</f>
        <v/>
      </c>
      <c r="AC47" s="131"/>
      <c r="AD47" s="131" t="str">
        <f t="array" ref="AD47">iferror(index(LEGEND!$C:$C,match(AD$46,LEGEND!$B:$B,0),1),"")</f>
        <v/>
      </c>
      <c r="AE47" s="131"/>
      <c r="AF47" s="131" t="str">
        <f t="array" ref="AF47">iferror(index(LEGEND!$C:$C,match(AF$46,LEGEND!$B:$B,0),1),"")</f>
        <v/>
      </c>
      <c r="AG47" s="131"/>
    </row>
    <row r="48" hidden="1" outlineLevel="1">
      <c r="A48" s="116"/>
      <c r="B48" s="132" t="s">
        <v>28</v>
      </c>
      <c r="C48" s="126"/>
      <c r="D48" s="129" t="str">
        <f t="array" ref="D48">iferror(index(INPUT!$A$27:$H$43,match(D$45,INPUT!$A$27:$A$43,0),match($B48,INPUT!$A$27:$H$27,0)),"")</f>
        <v/>
      </c>
      <c r="E48" s="129"/>
      <c r="F48" s="129" t="str">
        <f t="array" ref="F48">iferror(index(INPUT!$A$27:$H$43,match(F$45,INPUT!$A$27:$A$43,0),match($B48,INPUT!$A$27:$H$27,0)),"")</f>
        <v/>
      </c>
      <c r="G48" s="129"/>
      <c r="H48" s="129" t="str">
        <f t="array" ref="H48">iferror(index(INPUT!$A$27:$H$43,match(H$45,INPUT!$A$27:$A$43,0),match($B48,INPUT!$A$27:$H$27,0)),"")</f>
        <v/>
      </c>
      <c r="I48" s="129"/>
      <c r="J48" s="129" t="str">
        <f t="array" ref="J48">iferror(index(INPUT!$A$27:$H$43,match(J$45,INPUT!$A$27:$A$43,0),match($B48,INPUT!$A$27:$H$27,0)),"")</f>
        <v/>
      </c>
      <c r="K48" s="129"/>
      <c r="L48" s="129" t="str">
        <f t="array" ref="L48">iferror(index(INPUT!$A$27:$H$43,match(L$45,INPUT!$A$27:$A$43,0),match($B48,INPUT!$A$27:$H$27,0)),"")</f>
        <v/>
      </c>
      <c r="M48" s="129"/>
      <c r="N48" s="129" t="str">
        <f t="array" ref="N48">iferror(index(INPUT!$A$27:$H$43,match(N$45,INPUT!$A$27:$A$43,0),match($B48,INPUT!$A$27:$H$27,0)),"")</f>
        <v/>
      </c>
      <c r="O48" s="129"/>
      <c r="P48" s="129" t="str">
        <f t="array" ref="P48">iferror(index(INPUT!$A$27:$H$43,match(P$45,INPUT!$A$27:$A$43,0),match($B48,INPUT!$A$27:$H$27,0)),"")</f>
        <v/>
      </c>
      <c r="Q48" s="129"/>
      <c r="R48" s="129" t="str">
        <f t="array" ref="R48">iferror(index(INPUT!$A$27:$H$43,match(R$45,INPUT!$A$27:$A$43,0),match($B48,INPUT!$A$27:$H$27,0)),"")</f>
        <v/>
      </c>
      <c r="S48" s="129"/>
      <c r="T48" s="129" t="str">
        <f t="array" ref="T48">iferror(index(INPUT!$A$27:$H$43,match(T$45,INPUT!$A$27:$A$43,0),match($B48,INPUT!$A$27:$H$27,0)),"")</f>
        <v/>
      </c>
      <c r="U48" s="129"/>
      <c r="V48" s="129" t="str">
        <f t="array" ref="V48">iferror(index(INPUT!$A$27:$H$43,match(V$45,INPUT!$A$27:$A$43,0),match($B48,INPUT!$A$27:$H$27,0)),"")</f>
        <v/>
      </c>
      <c r="W48" s="129"/>
      <c r="X48" s="129" t="str">
        <f t="array" ref="X48">iferror(index(INPUT!$A$27:$H$43,match(X$45,INPUT!$A$27:$A$43,0),match($B48,INPUT!$A$27:$H$27,0)),"")</f>
        <v/>
      </c>
      <c r="Y48" s="129"/>
      <c r="Z48" s="129" t="str">
        <f t="array" ref="Z48">iferror(index(INPUT!$A$27:$H$43,match(Z$45,INPUT!$A$27:$A$43,0),match($B48,INPUT!$A$27:$H$27,0)),"")</f>
        <v/>
      </c>
      <c r="AA48" s="129"/>
      <c r="AB48" s="129" t="str">
        <f t="array" ref="AB48">iferror(index(INPUT!$A$27:$H$43,match(AB$45,INPUT!$A$27:$A$43,0),match($B48,INPUT!$A$27:$H$27,0)),"")</f>
        <v/>
      </c>
      <c r="AC48" s="129"/>
      <c r="AD48" s="129" t="str">
        <f t="array" ref="AD48">iferror(index(INPUT!$A$27:$H$43,match(AD$45,INPUT!$A$27:$A$43,0),match($B48,INPUT!$A$27:$H$27,0)),"")</f>
        <v/>
      </c>
      <c r="AE48" s="129"/>
      <c r="AF48" s="129" t="str">
        <f t="array" ref="AF48">iferror(index(INPUT!$A$27:$H$43,match(AF$45,INPUT!$A$27:$A$43,0),match($B48,INPUT!$A$27:$H$27,0)),"")</f>
        <v/>
      </c>
      <c r="AG48" s="129"/>
    </row>
    <row r="49" hidden="1" outlineLevel="1">
      <c r="A49" s="116"/>
      <c r="B49" s="125" t="s">
        <v>59</v>
      </c>
      <c r="C49" s="126"/>
      <c r="D49" s="131" t="str">
        <f t="array" ref="D49">iferror(index(LEGEND!$G$1:$G$8,match(D$48,LEGEND!$E$1:$E$8,0),1),"")</f>
        <v/>
      </c>
      <c r="E49" s="131"/>
      <c r="F49" s="131" t="str">
        <f t="array" ref="F49">iferror(index(LEGEND!$G$1:$G$8,match(F$48,LEGEND!$E$1:$E$8,0),1),"")</f>
        <v/>
      </c>
      <c r="G49" s="131"/>
      <c r="H49" s="131" t="str">
        <f t="array" ref="H49">iferror(index(LEGEND!$G$1:$G$8,match(H$48,LEGEND!$E$1:$E$8,0),1),"")</f>
        <v/>
      </c>
      <c r="I49" s="131"/>
      <c r="J49" s="131" t="str">
        <f t="array" ref="J49">iferror(index(LEGEND!$G$1:$G$8,match(J$48,LEGEND!$E$1:$E$8,0),1),"")</f>
        <v/>
      </c>
      <c r="K49" s="131"/>
      <c r="L49" s="131" t="str">
        <f t="array" ref="L49">iferror(index(LEGEND!$G$1:$G$8,match(L$48,LEGEND!$E$1:$E$8,0),1),"")</f>
        <v/>
      </c>
      <c r="M49" s="131"/>
      <c r="N49" s="131" t="str">
        <f t="array" ref="N49">iferror(index(LEGEND!$G$1:$G$8,match(N$48,LEGEND!$E$1:$E$8,0),1),"")</f>
        <v/>
      </c>
      <c r="O49" s="131"/>
      <c r="P49" s="131" t="str">
        <f t="array" ref="P49">iferror(index(LEGEND!$G$1:$G$8,match(P$48,LEGEND!$E$1:$E$8,0),1),"")</f>
        <v/>
      </c>
      <c r="Q49" s="131"/>
      <c r="R49" s="131" t="str">
        <f t="array" ref="R49">iferror(index(LEGEND!$G$1:$G$8,match(R$48,LEGEND!$E$1:$E$8,0),1),"")</f>
        <v/>
      </c>
      <c r="S49" s="131"/>
      <c r="T49" s="131" t="str">
        <f t="array" ref="T49">iferror(index(LEGEND!$G$1:$G$8,match(T$48,LEGEND!$E$1:$E$8,0),1),"")</f>
        <v/>
      </c>
      <c r="U49" s="131"/>
      <c r="V49" s="131" t="str">
        <f t="array" ref="V49">iferror(index(LEGEND!$G$1:$G$8,match(V$48,LEGEND!$E$1:$E$8,0),1),"")</f>
        <v/>
      </c>
      <c r="W49" s="131"/>
      <c r="X49" s="131" t="str">
        <f t="array" ref="X49">iferror(index(LEGEND!$G$1:$G$8,match(X$48,LEGEND!$E$1:$E$8,0),1),"")</f>
        <v/>
      </c>
      <c r="Y49" s="131"/>
      <c r="Z49" s="131" t="str">
        <f t="array" ref="Z49">iferror(index(LEGEND!$G$1:$G$8,match(Z$48,LEGEND!$E$1:$E$8,0),1),"")</f>
        <v/>
      </c>
      <c r="AA49" s="131"/>
      <c r="AB49" s="131" t="str">
        <f t="array" ref="AB49">iferror(index(LEGEND!$G$1:$G$8,match(AB$48,LEGEND!$E$1:$E$8,0),1),"")</f>
        <v/>
      </c>
      <c r="AC49" s="131"/>
      <c r="AD49" s="131" t="str">
        <f t="array" ref="AD49">iferror(index(LEGEND!$G$1:$G$8,match(AD$48,LEGEND!$E$1:$E$8,0),1),"")</f>
        <v/>
      </c>
      <c r="AE49" s="131"/>
      <c r="AF49" s="131" t="str">
        <f t="array" ref="AF49">iferror(index(LEGEND!$G$1:$G$8,match(AF$48,LEGEND!$E$1:$E$8,0),1),"")</f>
        <v/>
      </c>
      <c r="AG49" s="131"/>
    </row>
    <row r="50" hidden="1" outlineLevel="1">
      <c r="A50" s="116"/>
      <c r="B50" s="132" t="s">
        <v>27</v>
      </c>
      <c r="C50" s="126"/>
      <c r="D50" s="129" t="str">
        <f t="array" ref="D50">iferror(index(INPUT!$A$27:$H$43,match(D$45,INPUT!$A$27:$A$43,0),match($B50,INPUT!$A$27:$H$27,0)),"")</f>
        <v>Teacher - Student</v>
      </c>
      <c r="E50" s="129"/>
      <c r="F50" s="129" t="str">
        <f t="array" ref="F50">iferror(index(INPUT!$A$27:$H$43,match(F$45,INPUT!$A$27:$A$43,0),match($B50,INPUT!$A$27:$H$27,0)),"")</f>
        <v/>
      </c>
      <c r="G50" s="129"/>
      <c r="H50" s="129" t="str">
        <f t="array" ref="H50">iferror(index(INPUT!$A$27:$H$43,match(H$45,INPUT!$A$27:$A$43,0),match($B50,INPUT!$A$27:$H$27,0)),"")</f>
        <v/>
      </c>
      <c r="I50" s="129"/>
      <c r="J50" s="129" t="str">
        <f t="array" ref="J50">iferror(index(INPUT!$A$27:$H$43,match(J$45,INPUT!$A$27:$A$43,0),match($B50,INPUT!$A$27:$H$27,0)),"")</f>
        <v/>
      </c>
      <c r="K50" s="129"/>
      <c r="L50" s="129" t="str">
        <f t="array" ref="L50">iferror(index(INPUT!$A$27:$H$43,match(L$45,INPUT!$A$27:$A$43,0),match($B50,INPUT!$A$27:$H$27,0)),"")</f>
        <v/>
      </c>
      <c r="M50" s="129"/>
      <c r="N50" s="129" t="str">
        <f t="array" ref="N50">iferror(index(INPUT!$A$27:$H$43,match(N$45,INPUT!$A$27:$A$43,0),match($B50,INPUT!$A$27:$H$27,0)),"")</f>
        <v/>
      </c>
      <c r="O50" s="129"/>
      <c r="P50" s="129" t="str">
        <f t="array" ref="P50">iferror(index(INPUT!$A$27:$H$43,match(P$45,INPUT!$A$27:$A$43,0),match($B50,INPUT!$A$27:$H$27,0)),"")</f>
        <v/>
      </c>
      <c r="Q50" s="129"/>
      <c r="R50" s="129" t="str">
        <f t="array" ref="R50">iferror(index(INPUT!$A$27:$H$43,match(R$45,INPUT!$A$27:$A$43,0),match($B50,INPUT!$A$27:$H$27,0)),"")</f>
        <v/>
      </c>
      <c r="S50" s="129"/>
      <c r="T50" s="129" t="str">
        <f t="array" ref="T50">iferror(index(INPUT!$A$27:$H$43,match(T$45,INPUT!$A$27:$A$43,0),match($B50,INPUT!$A$27:$H$27,0)),"")</f>
        <v/>
      </c>
      <c r="U50" s="129"/>
      <c r="V50" s="129" t="str">
        <f t="array" ref="V50">iferror(index(INPUT!$A$27:$H$43,match(V$45,INPUT!$A$27:$A$43,0),match($B50,INPUT!$A$27:$H$27,0)),"")</f>
        <v/>
      </c>
      <c r="W50" s="129"/>
      <c r="X50" s="129" t="str">
        <f t="array" ref="X50">iferror(index(INPUT!$A$27:$H$43,match(X$45,INPUT!$A$27:$A$43,0),match($B50,INPUT!$A$27:$H$27,0)),"")</f>
        <v/>
      </c>
      <c r="Y50" s="129"/>
      <c r="Z50" s="129" t="str">
        <f t="array" ref="Z50">iferror(index(INPUT!$A$27:$H$43,match(Z$45,INPUT!$A$27:$A$43,0),match($B50,INPUT!$A$27:$H$27,0)),"")</f>
        <v/>
      </c>
      <c r="AA50" s="129"/>
      <c r="AB50" s="129" t="str">
        <f t="array" ref="AB50">iferror(index(INPUT!$A$27:$H$43,match(AB$45,INPUT!$A$27:$A$43,0),match($B50,INPUT!$A$27:$H$27,0)),"")</f>
        <v/>
      </c>
      <c r="AC50" s="129"/>
      <c r="AD50" s="129" t="str">
        <f t="array" ref="AD50">iferror(index(INPUT!$A$27:$H$43,match(AD$45,INPUT!$A$27:$A$43,0),match($B50,INPUT!$A$27:$H$27,0)),"")</f>
        <v/>
      </c>
      <c r="AE50" s="129"/>
      <c r="AF50" s="129" t="str">
        <f t="array" ref="AF50">iferror(index(INPUT!$A$27:$H$43,match(AF$45,INPUT!$A$27:$A$43,0),match($B50,INPUT!$A$27:$H$27,0)),"")</f>
        <v/>
      </c>
      <c r="AG50" s="129"/>
    </row>
    <row r="51" hidden="1" outlineLevel="1">
      <c r="A51" s="116"/>
      <c r="B51" s="125" t="s">
        <v>60</v>
      </c>
      <c r="C51" s="126"/>
      <c r="D51" s="131">
        <f t="array" ref="D51">iferror(index(LEGEND!$K:$K,match(D$50,LEGEND!$I:$I,0),1),"")</f>
        <v>2</v>
      </c>
      <c r="E51" s="131"/>
      <c r="F51" s="131" t="str">
        <f t="array" ref="F51">iferror(index(LEGEND!$K:$K,match(F$50,LEGEND!$I:$I,0),1),"")</f>
        <v/>
      </c>
      <c r="G51" s="131"/>
      <c r="H51" s="131" t="str">
        <f t="array" ref="H51">iferror(index(LEGEND!$K:$K,match(H$50,LEGEND!$I:$I,0),1),"")</f>
        <v/>
      </c>
      <c r="I51" s="131"/>
      <c r="J51" s="131" t="str">
        <f t="array" ref="J51">iferror(index(LEGEND!$K:$K,match(J$50,LEGEND!$I:$I,0),1),"")</f>
        <v/>
      </c>
      <c r="K51" s="131"/>
      <c r="L51" s="131" t="str">
        <f t="array" ref="L51">iferror(index(LEGEND!$K:$K,match(L$50,LEGEND!$I:$I,0),1),"")</f>
        <v/>
      </c>
      <c r="M51" s="131"/>
      <c r="N51" s="131" t="str">
        <f t="array" ref="N51">iferror(index(LEGEND!$K:$K,match(N$50,LEGEND!$I:$I,0),1),"")</f>
        <v/>
      </c>
      <c r="O51" s="131"/>
      <c r="P51" s="131" t="str">
        <f t="array" ref="P51">iferror(index(LEGEND!$K:$K,match(P$50,LEGEND!$I:$I,0),1),"")</f>
        <v/>
      </c>
      <c r="Q51" s="131"/>
      <c r="R51" s="131" t="str">
        <f t="array" ref="R51">iferror(index(LEGEND!$K:$K,match(R$50,LEGEND!$I:$I,0),1),"")</f>
        <v/>
      </c>
      <c r="S51" s="131"/>
      <c r="T51" s="131" t="str">
        <f t="array" ref="T51">iferror(index(LEGEND!$K:$K,match(T$50,LEGEND!$I:$I,0),1),"")</f>
        <v/>
      </c>
      <c r="U51" s="131"/>
      <c r="V51" s="131" t="str">
        <f t="array" ref="V51">iferror(index(LEGEND!$K:$K,match(V$50,LEGEND!$I:$I,0),1),"")</f>
        <v/>
      </c>
      <c r="W51" s="131"/>
      <c r="X51" s="131" t="str">
        <f t="array" ref="X51">iferror(index(LEGEND!$K:$K,match(X$50,LEGEND!$I:$I,0),1),"")</f>
        <v/>
      </c>
      <c r="Y51" s="131"/>
      <c r="Z51" s="131" t="str">
        <f t="array" ref="Z51">iferror(index(LEGEND!$K:$K,match(Z$50,LEGEND!$I:$I,0),1),"")</f>
        <v/>
      </c>
      <c r="AA51" s="131"/>
      <c r="AB51" s="131" t="str">
        <f t="array" ref="AB51">iferror(index(LEGEND!$K:$K,match(AB$50,LEGEND!$I:$I,0),1),"")</f>
        <v/>
      </c>
      <c r="AC51" s="131"/>
      <c r="AD51" s="131" t="str">
        <f t="array" ref="AD51">iferror(index(LEGEND!$K:$K,match(AD$50,LEGEND!$I:$I,0),1),"")</f>
        <v/>
      </c>
      <c r="AE51" s="131"/>
      <c r="AF51" s="131" t="str">
        <f t="array" ref="AF51">iferror(index(LEGEND!$K:$K,match(AF$50,LEGEND!$I:$I,0),1),"")</f>
        <v/>
      </c>
      <c r="AG51" s="131"/>
    </row>
    <row r="52" hidden="1" outlineLevel="1">
      <c r="A52" s="116"/>
      <c r="B52" s="132" t="s">
        <v>29</v>
      </c>
      <c r="C52" s="133"/>
      <c r="D52" s="134" t="str">
        <f t="array" ref="D52">iferror(index(INPUT!$A$27:$H$43,match(D$45,INPUT!$A$27:$A$43,0),match($B52,INPUT!$A$27:$H$27,0)),"")</f>
        <v>Activity ##
Details
[Tech tool]</v>
      </c>
      <c r="E52" s="134"/>
      <c r="F52" s="134" t="str">
        <f t="array" ref="F52">iferror(index(INPUT!$A$27:$H$43,match(F$45,INPUT!$A$27:$A$43,0),match($B52,INPUT!$A$27:$H$27,0)),"")</f>
        <v>Activity ##
Details
[Tech tool]</v>
      </c>
      <c r="G52" s="134"/>
      <c r="H52" s="134" t="str">
        <f t="array" ref="H52">iferror(index(INPUT!$A$27:$H$43,match(H$45,INPUT!$A$27:$A$43,0),match($B52,INPUT!$A$27:$H$27,0)),"")</f>
        <v>Activity ##
Details
[Tech tool]</v>
      </c>
      <c r="I52" s="134"/>
      <c r="J52" s="134" t="str">
        <f t="array" ref="J52">iferror(index(INPUT!$A$27:$H$43,match(J$45,INPUT!$A$27:$A$43,0),match($B52,INPUT!$A$27:$H$27,0)),"")</f>
        <v>Activity ##
Details
[Tech tool]</v>
      </c>
      <c r="K52" s="134"/>
      <c r="L52" s="134" t="str">
        <f t="array" ref="L52">iferror(index(INPUT!$A$27:$H$43,match(L$45,INPUT!$A$27:$A$43,0),match($B52,INPUT!$A$27:$H$27,0)),"")</f>
        <v>Activity ##
Details
[Tech tool]</v>
      </c>
      <c r="M52" s="134"/>
      <c r="N52" s="134" t="str">
        <f t="array" ref="N52">iferror(index(INPUT!$A$27:$H$43,match(N$45,INPUT!$A$27:$A$43,0),match($B52,INPUT!$A$27:$H$27,0)),"")</f>
        <v>Activity ##
Details
[Tech tool]</v>
      </c>
      <c r="O52" s="134"/>
      <c r="P52" s="134" t="str">
        <f t="array" ref="P52">iferror(index(INPUT!$A$27:$H$43,match(P$45,INPUT!$A$27:$A$43,0),match($B52,INPUT!$A$27:$H$27,0)),"")</f>
        <v>Activity ##
Details
[Tech tool]</v>
      </c>
      <c r="Q52" s="134"/>
      <c r="R52" s="134" t="str">
        <f t="array" ref="R52">iferror(index(INPUT!$A$27:$H$43,match(R$45,INPUT!$A$27:$A$43,0),match($B52,INPUT!$A$27:$H$27,0)),"")</f>
        <v>Activity ##
Details
[Tech tool]</v>
      </c>
      <c r="S52" s="134"/>
      <c r="T52" s="134" t="str">
        <f t="array" ref="T52">iferror(index(INPUT!$A$27:$H$43,match(T$45,INPUT!$A$27:$A$43,0),match($B52,INPUT!$A$27:$H$27,0)),"")</f>
        <v>Activity ##
Details
[Tech tool]</v>
      </c>
      <c r="U52" s="134"/>
      <c r="V52" s="134" t="str">
        <f t="array" ref="V52">iferror(index(INPUT!$A$27:$H$43,match(V$45,INPUT!$A$27:$A$43,0),match($B52,INPUT!$A$27:$H$27,0)),"")</f>
        <v>Activity ##
Details
[Tech tool]</v>
      </c>
      <c r="W52" s="134"/>
      <c r="X52" s="134" t="str">
        <f t="array" ref="X52">iferror(index(INPUT!$A$27:$H$43,match(X$45,INPUT!$A$27:$A$43,0),match($B52,INPUT!$A$27:$H$27,0)),"")</f>
        <v>Activity ##
Details
[Tech tool]</v>
      </c>
      <c r="Y52" s="134"/>
      <c r="Z52" s="134" t="str">
        <f t="array" ref="Z52">iferror(index(INPUT!$A$27:$H$43,match(Z$45,INPUT!$A$27:$A$43,0),match($B52,INPUT!$A$27:$H$27,0)),"")</f>
        <v>Activity ##
Details
[Tech tool]</v>
      </c>
      <c r="AA52" s="134"/>
      <c r="AB52" s="134" t="str">
        <f t="array" ref="AB52">iferror(index(INPUT!$A$27:$H$43,match(AB$45,INPUT!$A$27:$A$43,0),match($B52,INPUT!$A$27:$H$27,0)),"")</f>
        <v>Activity ##
Details
[Tech tool]</v>
      </c>
      <c r="AC52" s="134"/>
      <c r="AD52" s="134" t="str">
        <f t="array" ref="AD52">iferror(index(INPUT!$A$27:$H$43,match(AD$45,INPUT!$A$27:$A$43,0),match($B52,INPUT!$A$27:$H$27,0)),"")</f>
        <v>Activity ##
Details
[Tech tool]</v>
      </c>
      <c r="AE52" s="134"/>
      <c r="AF52" s="134" t="str">
        <f t="array" ref="AF52">iferror(index(INPUT!$A$27:$H$43,match(AF$45,INPUT!$A$27:$A$43,0),match($B52,INPUT!$A$27:$H$27,0)),"")</f>
        <v>Activity ##
Details
[Tech tool]</v>
      </c>
      <c r="AG52" s="134"/>
    </row>
    <row r="53" hidden="1" outlineLevel="1">
      <c r="A53" s="116"/>
      <c r="B53" s="132" t="str">
        <f>INPUT!E27</f>
        <v>[Optional]
Time (mins)</v>
      </c>
      <c r="C53" s="133"/>
      <c r="D53" s="134">
        <f t="array" ref="D53">iferror(index(INPUT!$A$27:$H$43,match(D$45,INPUT!$A$27:$A$43,0),match($B53,INPUT!$A$27:$H$27,0)),"")</f>
        <v>25</v>
      </c>
      <c r="E53" s="134"/>
      <c r="F53" s="134" t="str">
        <f t="array" ref="F53">iferror(index(INPUT!$A$27:$H$43,match(F$45,INPUT!$A$27:$A$43,0),match($B53,INPUT!$A$27:$H$27,0)),"")</f>
        <v/>
      </c>
      <c r="G53" s="134"/>
      <c r="H53" s="134" t="str">
        <f t="array" ref="H53">iferror(index(INPUT!$A$27:$H$43,match(H$45,INPUT!$A$27:$A$43,0),match($B53,INPUT!$A$27:$H$27,0)),"")</f>
        <v/>
      </c>
      <c r="I53" s="134"/>
      <c r="J53" s="134" t="str">
        <f t="array" ref="J53">iferror(index(INPUT!$A$27:$H$43,match(J$45,INPUT!$A$27:$A$43,0),match($B53,INPUT!$A$27:$H$27,0)),"")</f>
        <v/>
      </c>
      <c r="K53" s="134"/>
      <c r="L53" s="134" t="str">
        <f t="array" ref="L53">iferror(index(INPUT!$A$27:$H$43,match(L$45,INPUT!$A$27:$A$43,0),match($B53,INPUT!$A$27:$H$27,0)),"")</f>
        <v/>
      </c>
      <c r="M53" s="134"/>
      <c r="N53" s="134" t="str">
        <f t="array" ref="N53">iferror(index(INPUT!$A$27:$H$43,match(N$45,INPUT!$A$27:$A$43,0),match($B53,INPUT!$A$27:$H$27,0)),"")</f>
        <v/>
      </c>
      <c r="O53" s="134"/>
      <c r="P53" s="134" t="str">
        <f t="array" ref="P53">iferror(index(INPUT!$A$27:$H$43,match(P$45,INPUT!$A$27:$A$43,0),match($B53,INPUT!$A$27:$H$27,0)),"")</f>
        <v/>
      </c>
      <c r="Q53" s="134"/>
      <c r="R53" s="134" t="str">
        <f t="array" ref="R53">iferror(index(INPUT!$A$27:$H$43,match(R$45,INPUT!$A$27:$A$43,0),match($B53,INPUT!$A$27:$H$27,0)),"")</f>
        <v/>
      </c>
      <c r="S53" s="134"/>
      <c r="T53" s="134" t="str">
        <f t="array" ref="T53">iferror(index(INPUT!$A$27:$H$43,match(T$45,INPUT!$A$27:$A$43,0),match($B53,INPUT!$A$27:$H$27,0)),"")</f>
        <v/>
      </c>
      <c r="U53" s="134"/>
      <c r="V53" s="134" t="str">
        <f t="array" ref="V53">iferror(index(INPUT!$A$27:$H$43,match(V$45,INPUT!$A$27:$A$43,0),match($B53,INPUT!$A$27:$H$27,0)),"")</f>
        <v/>
      </c>
      <c r="W53" s="134"/>
      <c r="X53" s="134" t="str">
        <f t="array" ref="X53">iferror(index(INPUT!$A$27:$H$43,match(X$45,INPUT!$A$27:$A$43,0),match($B53,INPUT!$A$27:$H$27,0)),"")</f>
        <v/>
      </c>
      <c r="Y53" s="134"/>
      <c r="Z53" s="134" t="str">
        <f t="array" ref="Z53">iferror(index(INPUT!$A$27:$H$43,match(Z$45,INPUT!$A$27:$A$43,0),match($B53,INPUT!$A$27:$H$27,0)),"")</f>
        <v/>
      </c>
      <c r="AA53" s="134"/>
      <c r="AB53" s="134" t="str">
        <f t="array" ref="AB53">iferror(index(INPUT!$A$27:$H$43,match(AB$45,INPUT!$A$27:$A$43,0),match($B53,INPUT!$A$27:$H$27,0)),"")</f>
        <v/>
      </c>
      <c r="AC53" s="134"/>
      <c r="AD53" s="134" t="str">
        <f t="array" ref="AD53">iferror(index(INPUT!$A$27:$H$43,match(AD$45,INPUT!$A$27:$A$43,0),match($B53,INPUT!$A$27:$H$27,0)),"")</f>
        <v/>
      </c>
      <c r="AE53" s="134"/>
      <c r="AF53" s="134" t="str">
        <f t="array" ref="AF53">iferror(index(INPUT!$A$27:$H$43,match(AF$45,INPUT!$A$27:$A$43,0),match($B53,INPUT!$A$27:$H$27,0)),"")</f>
        <v/>
      </c>
      <c r="AG53" s="134"/>
    </row>
    <row r="54" hidden="1" outlineLevel="1">
      <c r="A54" s="116"/>
      <c r="B54" s="132" t="str">
        <f>INPUT!F27</f>
        <v>[Optional]
Virtual / Physical</v>
      </c>
      <c r="C54" s="133"/>
      <c r="D54" s="134" t="str">
        <f t="array" ref="D54">iferror(index(INPUT!$A$27:$H$43,match(D$45,INPUT!$A$27:$A$43,0),match($B54,INPUT!$A$27:$H$27,0)),"")</f>
        <v/>
      </c>
      <c r="E54" s="134"/>
      <c r="F54" s="134" t="str">
        <f t="array" ref="F54">iferror(index(INPUT!$A$27:$H$43,match(F$45,INPUT!$A$27:$A$43,0),match($B54,INPUT!$A$27:$H$27,0)),"")</f>
        <v/>
      </c>
      <c r="G54" s="134"/>
      <c r="H54" s="134" t="str">
        <f t="array" ref="H54">iferror(index(INPUT!$A$27:$H$43,match(H$45,INPUT!$A$27:$A$43,0),match($B54,INPUT!$A$27:$H$27,0)),"")</f>
        <v/>
      </c>
      <c r="I54" s="134"/>
      <c r="J54" s="134" t="str">
        <f t="array" ref="J54">iferror(index(INPUT!$A$27:$H$43,match(J$45,INPUT!$A$27:$A$43,0),match($B54,INPUT!$A$27:$H$27,0)),"")</f>
        <v/>
      </c>
      <c r="K54" s="134"/>
      <c r="L54" s="134" t="str">
        <f t="array" ref="L54">iferror(index(INPUT!$A$27:$H$43,match(L$45,INPUT!$A$27:$A$43,0),match($B54,INPUT!$A$27:$H$27,0)),"")</f>
        <v/>
      </c>
      <c r="M54" s="134"/>
      <c r="N54" s="134" t="str">
        <f t="array" ref="N54">iferror(index(INPUT!$A$27:$H$43,match(N$45,INPUT!$A$27:$A$43,0),match($B54,INPUT!$A$27:$H$27,0)),"")</f>
        <v/>
      </c>
      <c r="O54" s="134"/>
      <c r="P54" s="134" t="str">
        <f t="array" ref="P54">iferror(index(INPUT!$A$27:$H$43,match(P$45,INPUT!$A$27:$A$43,0),match($B54,INPUT!$A$27:$H$27,0)),"")</f>
        <v/>
      </c>
      <c r="Q54" s="134"/>
      <c r="R54" s="134" t="str">
        <f t="array" ref="R54">iferror(index(INPUT!$A$27:$H$43,match(R$45,INPUT!$A$27:$A$43,0),match($B54,INPUT!$A$27:$H$27,0)),"")</f>
        <v/>
      </c>
      <c r="S54" s="134"/>
      <c r="T54" s="134" t="str">
        <f t="array" ref="T54">iferror(index(INPUT!$A$27:$H$43,match(T$45,INPUT!$A$27:$A$43,0),match($B54,INPUT!$A$27:$H$27,0)),"")</f>
        <v/>
      </c>
      <c r="U54" s="134"/>
      <c r="V54" s="134" t="str">
        <f t="array" ref="V54">iferror(index(INPUT!$A$27:$H$43,match(V$45,INPUT!$A$27:$A$43,0),match($B54,INPUT!$A$27:$H$27,0)),"")</f>
        <v/>
      </c>
      <c r="W54" s="134"/>
      <c r="X54" s="134" t="str">
        <f t="array" ref="X54">iferror(index(INPUT!$A$27:$H$43,match(X$45,INPUT!$A$27:$A$43,0),match($B54,INPUT!$A$27:$H$27,0)),"")</f>
        <v/>
      </c>
      <c r="Y54" s="134"/>
      <c r="Z54" s="134" t="str">
        <f t="array" ref="Z54">iferror(index(INPUT!$A$27:$H$43,match(Z$45,INPUT!$A$27:$A$43,0),match($B54,INPUT!$A$27:$H$27,0)),"")</f>
        <v/>
      </c>
      <c r="AA54" s="134"/>
      <c r="AB54" s="134" t="str">
        <f t="array" ref="AB54">iferror(index(INPUT!$A$27:$H$43,match(AB$45,INPUT!$A$27:$A$43,0),match($B54,INPUT!$A$27:$H$27,0)),"")</f>
        <v/>
      </c>
      <c r="AC54" s="134"/>
      <c r="AD54" s="134" t="str">
        <f t="array" ref="AD54">iferror(index(INPUT!$A$27:$H$43,match(AD$45,INPUT!$A$27:$A$43,0),match($B54,INPUT!$A$27:$H$27,0)),"")</f>
        <v/>
      </c>
      <c r="AE54" s="134"/>
      <c r="AF54" s="134" t="str">
        <f t="array" ref="AF54">iferror(index(INPUT!$A$27:$H$43,match(AF$45,INPUT!$A$27:$A$43,0),match($B54,INPUT!$A$27:$H$27,0)),"")</f>
        <v/>
      </c>
      <c r="AG54" s="134"/>
    </row>
    <row r="55" hidden="1" outlineLevel="1">
      <c r="A55" s="116"/>
      <c r="B55" s="132" t="str">
        <f>INPUT!G27</f>
        <v>[Optional]
Synchronous / Asynchronous</v>
      </c>
      <c r="C55" s="133"/>
      <c r="D55" s="134" t="str">
        <f t="array" ref="D55">iferror(index(INPUT!$A$27:$H$43,match(D$45,INPUT!$A$27:$A$43,0),match($B55,INPUT!$A$27:$H$27,0)),"")</f>
        <v/>
      </c>
      <c r="E55" s="134"/>
      <c r="F55" s="134" t="str">
        <f t="array" ref="F55">iferror(index(INPUT!$A$27:$H$43,match(F$45,INPUT!$A$27:$A$43,0),match($B55,INPUT!$A$27:$H$27,0)),"")</f>
        <v/>
      </c>
      <c r="G55" s="134"/>
      <c r="H55" s="134" t="str">
        <f t="array" ref="H55">iferror(index(INPUT!$A$27:$H$43,match(H$45,INPUT!$A$27:$A$43,0),match($B55,INPUT!$A$27:$H$27,0)),"")</f>
        <v/>
      </c>
      <c r="I55" s="134"/>
      <c r="J55" s="134" t="str">
        <f t="array" ref="J55">iferror(index(INPUT!$A$27:$H$43,match(J$45,INPUT!$A$27:$A$43,0),match($B55,INPUT!$A$27:$H$27,0)),"")</f>
        <v/>
      </c>
      <c r="K55" s="134"/>
      <c r="L55" s="134" t="str">
        <f t="array" ref="L55">iferror(index(INPUT!$A$27:$H$43,match(L$45,INPUT!$A$27:$A$43,0),match($B55,INPUT!$A$27:$H$27,0)),"")</f>
        <v/>
      </c>
      <c r="M55" s="134"/>
      <c r="N55" s="134" t="str">
        <f t="array" ref="N55">iferror(index(INPUT!$A$27:$H$43,match(N$45,INPUT!$A$27:$A$43,0),match($B55,INPUT!$A$27:$H$27,0)),"")</f>
        <v/>
      </c>
      <c r="O55" s="134"/>
      <c r="P55" s="134" t="str">
        <f t="array" ref="P55">iferror(index(INPUT!$A$27:$H$43,match(P$45,INPUT!$A$27:$A$43,0),match($B55,INPUT!$A$27:$H$27,0)),"")</f>
        <v/>
      </c>
      <c r="Q55" s="134"/>
      <c r="R55" s="134" t="str">
        <f t="array" ref="R55">iferror(index(INPUT!$A$27:$H$43,match(R$45,INPUT!$A$27:$A$43,0),match($B55,INPUT!$A$27:$H$27,0)),"")</f>
        <v/>
      </c>
      <c r="S55" s="134"/>
      <c r="T55" s="134" t="str">
        <f t="array" ref="T55">iferror(index(INPUT!$A$27:$H$43,match(T$45,INPUT!$A$27:$A$43,0),match($B55,INPUT!$A$27:$H$27,0)),"")</f>
        <v/>
      </c>
      <c r="U55" s="134"/>
      <c r="V55" s="134" t="str">
        <f t="array" ref="V55">iferror(index(INPUT!$A$27:$H$43,match(V$45,INPUT!$A$27:$A$43,0),match($B55,INPUT!$A$27:$H$27,0)),"")</f>
        <v/>
      </c>
      <c r="W55" s="134"/>
      <c r="X55" s="134" t="str">
        <f t="array" ref="X55">iferror(index(INPUT!$A$27:$H$43,match(X$45,INPUT!$A$27:$A$43,0),match($B55,INPUT!$A$27:$H$27,0)),"")</f>
        <v/>
      </c>
      <c r="Y55" s="134"/>
      <c r="Z55" s="134" t="str">
        <f t="array" ref="Z55">iferror(index(INPUT!$A$27:$H$43,match(Z$45,INPUT!$A$27:$A$43,0),match($B55,INPUT!$A$27:$H$27,0)),"")</f>
        <v/>
      </c>
      <c r="AA55" s="134"/>
      <c r="AB55" s="134" t="str">
        <f t="array" ref="AB55">iferror(index(INPUT!$A$27:$H$43,match(AB$45,INPUT!$A$27:$A$43,0),match($B55,INPUT!$A$27:$H$27,0)),"")</f>
        <v/>
      </c>
      <c r="AC55" s="134"/>
      <c r="AD55" s="134" t="str">
        <f t="array" ref="AD55">iferror(index(INPUT!$A$27:$H$43,match(AD$45,INPUT!$A$27:$A$43,0),match($B55,INPUT!$A$27:$H$27,0)),"")</f>
        <v/>
      </c>
      <c r="AE55" s="134"/>
      <c r="AF55" s="134" t="str">
        <f t="array" ref="AF55">iferror(index(INPUT!$A$27:$H$43,match(AF$45,INPUT!$A$27:$A$43,0),match($B55,INPUT!$A$27:$H$27,0)),"")</f>
        <v/>
      </c>
      <c r="AG55" s="134"/>
    </row>
    <row r="56" hidden="1" outlineLevel="1">
      <c r="A56" s="116"/>
      <c r="B56" s="132"/>
      <c r="C56" s="133"/>
      <c r="D56" s="134" t="str">
        <f t="shared" ref="D56:AG56" si="4">TEXTJOIN("-",1,D54:D55)</f>
        <v/>
      </c>
      <c r="E56" s="134" t="str">
        <f t="shared" si="4"/>
        <v/>
      </c>
      <c r="F56" s="134" t="str">
        <f t="shared" si="4"/>
        <v/>
      </c>
      <c r="G56" s="134" t="str">
        <f t="shared" si="4"/>
        <v/>
      </c>
      <c r="H56" s="134" t="str">
        <f t="shared" si="4"/>
        <v/>
      </c>
      <c r="I56" s="134" t="str">
        <f t="shared" si="4"/>
        <v/>
      </c>
      <c r="J56" s="134" t="str">
        <f t="shared" si="4"/>
        <v/>
      </c>
      <c r="K56" s="134" t="str">
        <f t="shared" si="4"/>
        <v/>
      </c>
      <c r="L56" s="134" t="str">
        <f t="shared" si="4"/>
        <v/>
      </c>
      <c r="M56" s="134" t="str">
        <f t="shared" si="4"/>
        <v/>
      </c>
      <c r="N56" s="134" t="str">
        <f t="shared" si="4"/>
        <v/>
      </c>
      <c r="O56" s="134" t="str">
        <f t="shared" si="4"/>
        <v/>
      </c>
      <c r="P56" s="134" t="str">
        <f t="shared" si="4"/>
        <v/>
      </c>
      <c r="Q56" s="134" t="str">
        <f t="shared" si="4"/>
        <v/>
      </c>
      <c r="R56" s="134" t="str">
        <f t="shared" si="4"/>
        <v/>
      </c>
      <c r="S56" s="134" t="str">
        <f t="shared" si="4"/>
        <v/>
      </c>
      <c r="T56" s="134" t="str">
        <f t="shared" si="4"/>
        <v/>
      </c>
      <c r="U56" s="134" t="str">
        <f t="shared" si="4"/>
        <v/>
      </c>
      <c r="V56" s="134" t="str">
        <f t="shared" si="4"/>
        <v/>
      </c>
      <c r="W56" s="134" t="str">
        <f t="shared" si="4"/>
        <v/>
      </c>
      <c r="X56" s="134" t="str">
        <f t="shared" si="4"/>
        <v/>
      </c>
      <c r="Y56" s="134" t="str">
        <f t="shared" si="4"/>
        <v/>
      </c>
      <c r="Z56" s="134" t="str">
        <f t="shared" si="4"/>
        <v/>
      </c>
      <c r="AA56" s="134" t="str">
        <f t="shared" si="4"/>
        <v/>
      </c>
      <c r="AB56" s="134" t="str">
        <f t="shared" si="4"/>
        <v/>
      </c>
      <c r="AC56" s="134" t="str">
        <f t="shared" si="4"/>
        <v/>
      </c>
      <c r="AD56" s="134" t="str">
        <f t="shared" si="4"/>
        <v/>
      </c>
      <c r="AE56" s="134" t="str">
        <f t="shared" si="4"/>
        <v/>
      </c>
      <c r="AF56" s="134" t="str">
        <f t="shared" si="4"/>
        <v/>
      </c>
      <c r="AG56" s="134" t="str">
        <f t="shared" si="4"/>
        <v/>
      </c>
    </row>
    <row r="57" hidden="1" outlineLevel="1">
      <c r="A57" s="116"/>
      <c r="B57" s="132"/>
      <c r="C57" s="133"/>
      <c r="D57" s="134"/>
      <c r="E57" s="134"/>
      <c r="F57" s="134"/>
      <c r="G57" s="134"/>
      <c r="H57" s="134"/>
      <c r="I57" s="134"/>
      <c r="J57" s="134"/>
      <c r="K57" s="134"/>
      <c r="L57" s="134"/>
      <c r="M57" s="134"/>
      <c r="N57" s="134"/>
      <c r="O57" s="134"/>
      <c r="P57" s="134"/>
      <c r="Q57" s="134"/>
      <c r="R57" s="134"/>
      <c r="S57" s="134"/>
      <c r="T57" s="134"/>
      <c r="U57" s="134"/>
      <c r="V57" s="134"/>
      <c r="W57" s="134"/>
      <c r="X57" s="134"/>
      <c r="Y57" s="134"/>
      <c r="Z57" s="134"/>
      <c r="AA57" s="134"/>
      <c r="AB57" s="134"/>
      <c r="AC57" s="134"/>
      <c r="AD57" s="134"/>
      <c r="AE57" s="134"/>
      <c r="AF57" s="134"/>
      <c r="AG57" s="134"/>
    </row>
    <row r="58" hidden="1" outlineLevel="1">
      <c r="A58" s="116"/>
      <c r="B58" s="132"/>
      <c r="C58" s="133"/>
      <c r="D58" s="134"/>
      <c r="E58" s="134"/>
      <c r="F58" s="134"/>
      <c r="G58" s="134"/>
      <c r="H58" s="134"/>
      <c r="I58" s="134"/>
      <c r="J58" s="134"/>
      <c r="K58" s="134"/>
      <c r="L58" s="134"/>
      <c r="M58" s="134"/>
      <c r="N58" s="134"/>
      <c r="O58" s="134"/>
      <c r="P58" s="134"/>
      <c r="Q58" s="134"/>
      <c r="R58" s="134"/>
      <c r="S58" s="134"/>
      <c r="T58" s="134"/>
      <c r="U58" s="134"/>
      <c r="V58" s="134"/>
      <c r="W58" s="134"/>
      <c r="X58" s="134"/>
      <c r="Y58" s="134"/>
      <c r="Z58" s="134"/>
      <c r="AA58" s="134"/>
      <c r="AB58" s="134"/>
      <c r="AC58" s="134"/>
      <c r="AD58" s="134"/>
      <c r="AE58" s="134"/>
      <c r="AF58" s="134"/>
      <c r="AG58" s="134"/>
    </row>
    <row r="59" hidden="1" outlineLevel="1">
      <c r="A59" s="116"/>
      <c r="B59" s="132"/>
      <c r="C59" s="133"/>
      <c r="D59" s="134"/>
      <c r="E59" s="134"/>
      <c r="F59" s="134"/>
      <c r="G59" s="134"/>
      <c r="H59" s="134"/>
      <c r="I59" s="134"/>
      <c r="J59" s="134"/>
      <c r="K59" s="134"/>
      <c r="L59" s="134"/>
      <c r="M59" s="134"/>
      <c r="N59" s="134"/>
      <c r="O59" s="134"/>
      <c r="P59" s="134"/>
      <c r="Q59" s="134"/>
      <c r="R59" s="134"/>
      <c r="S59" s="134"/>
      <c r="T59" s="134"/>
      <c r="U59" s="134"/>
      <c r="V59" s="134"/>
      <c r="W59" s="134"/>
      <c r="X59" s="134"/>
      <c r="Y59" s="134"/>
      <c r="Z59" s="134"/>
      <c r="AA59" s="134"/>
      <c r="AB59" s="134"/>
      <c r="AC59" s="134"/>
      <c r="AD59" s="134"/>
      <c r="AE59" s="134"/>
      <c r="AF59" s="134"/>
      <c r="AG59" s="134"/>
    </row>
    <row r="60" hidden="1" outlineLevel="1">
      <c r="A60" s="116"/>
      <c r="B60" s="132"/>
      <c r="C60" s="133"/>
      <c r="D60" s="134"/>
      <c r="E60" s="134"/>
      <c r="F60" s="134"/>
      <c r="G60" s="134"/>
      <c r="H60" s="134"/>
      <c r="I60" s="134"/>
      <c r="J60" s="134"/>
      <c r="K60" s="134"/>
      <c r="L60" s="134"/>
      <c r="M60" s="134"/>
      <c r="N60" s="134"/>
      <c r="O60" s="134"/>
      <c r="P60" s="134"/>
      <c r="Q60" s="134"/>
      <c r="R60" s="134"/>
      <c r="S60" s="134"/>
      <c r="T60" s="134"/>
      <c r="U60" s="134"/>
      <c r="V60" s="134"/>
      <c r="W60" s="134"/>
      <c r="X60" s="134"/>
      <c r="Y60" s="134"/>
      <c r="Z60" s="134"/>
      <c r="AA60" s="134"/>
      <c r="AB60" s="134"/>
      <c r="AC60" s="134"/>
      <c r="AD60" s="134"/>
      <c r="AE60" s="134"/>
      <c r="AF60" s="134"/>
      <c r="AG60" s="134"/>
    </row>
    <row r="61" hidden="1" outlineLevel="1">
      <c r="A61" s="116"/>
      <c r="B61" s="132"/>
      <c r="C61" s="133"/>
      <c r="D61" s="134"/>
      <c r="E61" s="134"/>
      <c r="F61" s="134"/>
      <c r="G61" s="134"/>
      <c r="H61" s="134"/>
      <c r="I61" s="134"/>
      <c r="J61" s="134"/>
      <c r="K61" s="134"/>
      <c r="L61" s="134"/>
      <c r="M61" s="134"/>
      <c r="N61" s="134"/>
      <c r="O61" s="134"/>
      <c r="P61" s="134"/>
      <c r="Q61" s="134"/>
      <c r="R61" s="134"/>
      <c r="S61" s="134"/>
      <c r="T61" s="134"/>
      <c r="U61" s="134"/>
      <c r="V61" s="134"/>
      <c r="W61" s="134"/>
      <c r="X61" s="134"/>
      <c r="Y61" s="134"/>
      <c r="Z61" s="134"/>
      <c r="AA61" s="134"/>
      <c r="AB61" s="134"/>
      <c r="AC61" s="134"/>
      <c r="AD61" s="134"/>
      <c r="AE61" s="134"/>
      <c r="AF61" s="134"/>
      <c r="AG61" s="134"/>
    </row>
    <row r="62" hidden="1" outlineLevel="1">
      <c r="A62" s="116"/>
      <c r="B62" s="132"/>
      <c r="C62" s="133"/>
      <c r="D62" s="134"/>
      <c r="E62" s="134"/>
      <c r="F62" s="134"/>
      <c r="G62" s="134"/>
      <c r="H62" s="134"/>
      <c r="I62" s="134"/>
      <c r="J62" s="134"/>
      <c r="K62" s="134"/>
      <c r="L62" s="134"/>
      <c r="M62" s="134"/>
      <c r="N62" s="134"/>
      <c r="O62" s="134"/>
      <c r="P62" s="134"/>
      <c r="Q62" s="134"/>
      <c r="R62" s="134"/>
      <c r="S62" s="134"/>
      <c r="T62" s="134"/>
      <c r="U62" s="134"/>
      <c r="V62" s="134"/>
      <c r="W62" s="134"/>
      <c r="X62" s="134"/>
      <c r="Y62" s="134"/>
      <c r="Z62" s="134"/>
      <c r="AA62" s="134"/>
      <c r="AB62" s="134"/>
      <c r="AC62" s="134"/>
      <c r="AD62" s="134"/>
      <c r="AE62" s="134"/>
      <c r="AF62" s="134"/>
      <c r="AG62" s="134"/>
    </row>
    <row r="63" hidden="1" outlineLevel="1">
      <c r="A63" s="116"/>
      <c r="B63" s="132"/>
      <c r="C63" s="133"/>
      <c r="D63" s="134"/>
      <c r="E63" s="134"/>
      <c r="F63" s="134"/>
      <c r="G63" s="134"/>
      <c r="H63" s="134"/>
      <c r="I63" s="134"/>
      <c r="J63" s="134"/>
      <c r="K63" s="134"/>
      <c r="L63" s="134"/>
      <c r="M63" s="134"/>
      <c r="N63" s="134"/>
      <c r="O63" s="134"/>
      <c r="P63" s="134"/>
      <c r="Q63" s="134"/>
      <c r="R63" s="134"/>
      <c r="S63" s="134"/>
      <c r="T63" s="134"/>
      <c r="U63" s="134"/>
      <c r="V63" s="134"/>
      <c r="W63" s="134"/>
      <c r="X63" s="134"/>
      <c r="Y63" s="134"/>
      <c r="Z63" s="134"/>
      <c r="AA63" s="134"/>
      <c r="AB63" s="134"/>
      <c r="AC63" s="134"/>
      <c r="AD63" s="134"/>
      <c r="AE63" s="134"/>
      <c r="AF63" s="134"/>
      <c r="AG63" s="134"/>
    </row>
    <row r="64" hidden="1" outlineLevel="1">
      <c r="A64" s="116"/>
      <c r="B64" s="132"/>
      <c r="C64" s="133"/>
      <c r="D64" s="134"/>
      <c r="E64" s="134"/>
      <c r="F64" s="134"/>
      <c r="G64" s="134"/>
      <c r="H64" s="134"/>
      <c r="I64" s="134"/>
      <c r="J64" s="134"/>
      <c r="K64" s="134"/>
      <c r="L64" s="134"/>
      <c r="M64" s="134"/>
      <c r="N64" s="134"/>
      <c r="O64" s="134"/>
      <c r="P64" s="134"/>
      <c r="Q64" s="134"/>
      <c r="R64" s="134"/>
      <c r="S64" s="134"/>
      <c r="T64" s="134"/>
      <c r="U64" s="134"/>
      <c r="V64" s="134"/>
      <c r="W64" s="134"/>
      <c r="X64" s="134"/>
      <c r="Y64" s="134"/>
      <c r="Z64" s="134"/>
      <c r="AA64" s="134"/>
      <c r="AB64" s="134"/>
      <c r="AC64" s="134"/>
      <c r="AD64" s="134"/>
      <c r="AE64" s="134"/>
      <c r="AF64" s="134"/>
      <c r="AG64" s="134"/>
    </row>
    <row r="65" hidden="1" outlineLevel="1">
      <c r="A65" s="116"/>
      <c r="B65" s="132"/>
      <c r="C65" s="133"/>
      <c r="D65" s="134"/>
      <c r="E65" s="134"/>
      <c r="F65" s="134"/>
      <c r="G65" s="134"/>
      <c r="H65" s="134"/>
      <c r="I65" s="134"/>
      <c r="J65" s="134"/>
      <c r="K65" s="134"/>
      <c r="L65" s="134"/>
      <c r="M65" s="134"/>
      <c r="N65" s="134"/>
      <c r="O65" s="134"/>
      <c r="P65" s="134"/>
      <c r="Q65" s="134"/>
      <c r="R65" s="134"/>
      <c r="S65" s="134"/>
      <c r="T65" s="134"/>
      <c r="U65" s="134"/>
      <c r="V65" s="134"/>
      <c r="W65" s="134"/>
      <c r="X65" s="134"/>
      <c r="Y65" s="134"/>
      <c r="Z65" s="134"/>
      <c r="AA65" s="134"/>
      <c r="AB65" s="134"/>
      <c r="AC65" s="134"/>
      <c r="AD65" s="134"/>
      <c r="AE65" s="134"/>
      <c r="AF65" s="134"/>
      <c r="AG65" s="134"/>
    </row>
    <row r="66" hidden="1" outlineLevel="1">
      <c r="A66" s="116"/>
      <c r="B66" s="132"/>
      <c r="C66" s="133"/>
      <c r="D66" s="134"/>
      <c r="E66" s="134"/>
      <c r="F66" s="134"/>
      <c r="G66" s="134"/>
      <c r="H66" s="134"/>
      <c r="I66" s="134"/>
      <c r="J66" s="134"/>
      <c r="K66" s="134"/>
      <c r="L66" s="134"/>
      <c r="M66" s="134"/>
      <c r="N66" s="134"/>
      <c r="O66" s="134"/>
      <c r="P66" s="134"/>
      <c r="Q66" s="134"/>
      <c r="R66" s="134"/>
      <c r="S66" s="134"/>
      <c r="T66" s="134"/>
      <c r="U66" s="134"/>
      <c r="V66" s="134"/>
      <c r="W66" s="134"/>
      <c r="X66" s="134"/>
      <c r="Y66" s="134"/>
      <c r="Z66" s="134"/>
      <c r="AA66" s="134"/>
      <c r="AB66" s="134"/>
      <c r="AC66" s="134"/>
      <c r="AD66" s="134"/>
      <c r="AE66" s="134"/>
      <c r="AF66" s="134"/>
      <c r="AG66" s="134"/>
    </row>
    <row r="67" hidden="1" outlineLevel="1">
      <c r="A67" s="116"/>
      <c r="B67" s="132"/>
      <c r="C67" s="133"/>
      <c r="D67" s="134"/>
      <c r="E67" s="134"/>
      <c r="F67" s="134"/>
      <c r="G67" s="134"/>
      <c r="H67" s="134"/>
      <c r="I67" s="134"/>
      <c r="J67" s="134"/>
      <c r="K67" s="134"/>
      <c r="L67" s="134"/>
      <c r="M67" s="134"/>
      <c r="N67" s="134"/>
      <c r="O67" s="134"/>
      <c r="P67" s="134"/>
      <c r="Q67" s="134"/>
      <c r="R67" s="134"/>
      <c r="S67" s="134"/>
      <c r="T67" s="134"/>
      <c r="U67" s="134"/>
      <c r="V67" s="134"/>
      <c r="W67" s="134"/>
      <c r="X67" s="134"/>
      <c r="Y67" s="134"/>
      <c r="Z67" s="134"/>
      <c r="AA67" s="134"/>
      <c r="AB67" s="134"/>
      <c r="AC67" s="134"/>
      <c r="AD67" s="134"/>
      <c r="AE67" s="134"/>
      <c r="AF67" s="134"/>
      <c r="AG67" s="134"/>
    </row>
  </sheetData>
  <mergeCells count="18">
    <mergeCell ref="AD15:AE15"/>
    <mergeCell ref="AF15:AG15"/>
    <mergeCell ref="P15:Q15"/>
    <mergeCell ref="R15:S15"/>
    <mergeCell ref="T15:U15"/>
    <mergeCell ref="V15:W15"/>
    <mergeCell ref="X15:Y15"/>
    <mergeCell ref="Z15:AA15"/>
    <mergeCell ref="AB15:AC15"/>
    <mergeCell ref="I18:K18"/>
    <mergeCell ref="L18:M18"/>
    <mergeCell ref="C6:C7"/>
    <mergeCell ref="D15:E15"/>
    <mergeCell ref="F15:G15"/>
    <mergeCell ref="H15:I15"/>
    <mergeCell ref="J15:K15"/>
    <mergeCell ref="L15:M15"/>
    <mergeCell ref="N15:O15"/>
  </mergeCells>
  <conditionalFormatting sqref="C17:C18">
    <cfRule type="expression" dxfId="3" priority="1">
      <formula>AND(C5&lt;&gt;"E",D5="00")</formula>
    </cfRule>
  </conditionalFormatting>
  <conditionalFormatting sqref="W16:AG22 A17:B22 C17 D17:H22 I17:J23 K17:V22">
    <cfRule type="expression" dxfId="3" priority="2">
      <formula>AND(V44&lt;&gt;"E",W44="00")</formula>
    </cfRule>
  </conditionalFormatting>
  <conditionalFormatting sqref="I18:J18 K18:N19 O18:O20 V18 X18 Z18 AB18 AD18 AF18">
    <cfRule type="containsText" dxfId="4" priority="3" operator="containsText" text="Optional">
      <formula>NOT(ISERROR(SEARCH(("Optional"),(I18))))</formula>
    </cfRule>
  </conditionalFormatting>
  <conditionalFormatting sqref="D47">
    <cfRule type="colorScale" priority="4">
      <colorScale>
        <cfvo type="min"/>
        <cfvo type="max"/>
        <color rgb="FFFFFFFF"/>
        <color rgb="FF57BB8A"/>
      </colorScale>
    </cfRule>
  </conditionalFormatting>
  <conditionalFormatting sqref="D6:AG15">
    <cfRule type="expression" dxfId="5" priority="5">
      <formula>AND(len(D6)&gt;0, D$49 = "#6aced8")</formula>
    </cfRule>
  </conditionalFormatting>
  <conditionalFormatting sqref="D6:AG15">
    <cfRule type="expression" dxfId="6" priority="6">
      <formula>AND(len(D6)&gt;0, D$49 = "#cc6bff")</formula>
    </cfRule>
  </conditionalFormatting>
  <conditionalFormatting sqref="D6:AG15">
    <cfRule type="expression" dxfId="7" priority="7">
      <formula>AND(len(D6)&gt;0, D$49 = "#ffc000")</formula>
    </cfRule>
  </conditionalFormatting>
  <conditionalFormatting sqref="D6:AG15">
    <cfRule type="expression" dxfId="8" priority="8">
      <formula>AND(len(D6)&gt;0, D$49 = "#f6bbbf")</formula>
    </cfRule>
  </conditionalFormatting>
  <conditionalFormatting sqref="W16:AG22 A17:B22 C17 D17:H22 I17:J23 K17:V22">
    <cfRule type="expression" dxfId="3" priority="9">
      <formula>AND(V44&lt;&gt;"E",W44="00")</formula>
    </cfRule>
  </conditionalFormatting>
  <conditionalFormatting sqref="D6:AG16">
    <cfRule type="expression" dxfId="3" priority="10">
      <formula>AND(ISBLANK(C$48),ISBLANK(D$48))</formula>
    </cfRule>
  </conditionalFormatting>
  <conditionalFormatting sqref="D6:AG15">
    <cfRule type="expression" dxfId="9" priority="11">
      <formula>AND(len(D6)&gt;0,D$45=".")</formula>
    </cfRule>
  </conditionalFormatting>
  <hyperlinks>
    <hyperlink r:id="rId1" ref="I21"/>
    <hyperlink r:id="rId2" ref="I22"/>
    <hyperlink r:id="rId3" ref="I23"/>
  </hyperlinks>
  <printOptions gridLines="1" horizontalCentered="1"/>
  <pageMargins bottom="0.75" footer="0.0" header="0.0" left="0.25" right="0.25" top="0.75"/>
  <pageSetup fitToWidth="0" paperSize="9" cellComments="atEnd" orientation="landscape" pageOrder="overThenDown"/>
  <drawing r:id="rId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2.38"/>
  </cols>
  <sheetData>
    <row r="20">
      <c r="A20" s="135"/>
      <c r="B20" s="136" t="s">
        <v>61</v>
      </c>
    </row>
    <row r="21">
      <c r="A21" s="136">
        <v>1.0</v>
      </c>
      <c r="B21" s="137" t="s">
        <v>62</v>
      </c>
    </row>
    <row r="22">
      <c r="A22" s="136">
        <v>2.0</v>
      </c>
      <c r="B22" s="138" t="s">
        <v>63</v>
      </c>
    </row>
    <row r="23">
      <c r="A23" s="136">
        <v>3.0</v>
      </c>
      <c r="B23" s="137" t="s">
        <v>64</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2" max="2" width="24.63"/>
    <col customWidth="1" min="4" max="4" width="4.75"/>
    <col customWidth="1" min="5" max="5" width="20.0"/>
    <col customWidth="1" min="8" max="8" width="6.13"/>
    <col customWidth="1" min="12" max="12" width="5.88"/>
  </cols>
  <sheetData>
    <row r="1" ht="20.25" customHeight="1">
      <c r="A1" s="139" t="s">
        <v>65</v>
      </c>
      <c r="B1" s="140" t="s">
        <v>66</v>
      </c>
      <c r="C1" s="140" t="s">
        <v>67</v>
      </c>
      <c r="D1" s="141"/>
      <c r="E1" s="139" t="s">
        <v>68</v>
      </c>
      <c r="F1" s="139" t="s">
        <v>69</v>
      </c>
      <c r="G1" s="139" t="s">
        <v>70</v>
      </c>
      <c r="I1" s="139" t="s">
        <v>27</v>
      </c>
      <c r="J1" s="139" t="s">
        <v>71</v>
      </c>
      <c r="K1" s="139" t="s">
        <v>72</v>
      </c>
      <c r="M1" s="142" t="s">
        <v>73</v>
      </c>
    </row>
    <row r="2" ht="46.5" customHeight="1">
      <c r="A2" s="143" t="str">
        <f t="shared" ref="A2:A9" si="1">IMAGE(C2,1)</f>
        <v>#REF!</v>
      </c>
      <c r="B2" s="144" t="s">
        <v>74</v>
      </c>
      <c r="C2" s="145" t="s">
        <v>75</v>
      </c>
      <c r="D2" s="141"/>
      <c r="E2" s="146" t="s">
        <v>76</v>
      </c>
      <c r="F2" s="147"/>
      <c r="G2" s="148" t="s">
        <v>77</v>
      </c>
      <c r="I2" s="149" t="s">
        <v>78</v>
      </c>
      <c r="J2" s="150" t="s">
        <v>79</v>
      </c>
      <c r="K2" s="150">
        <v>3.0</v>
      </c>
      <c r="M2" s="148">
        <v>5.0</v>
      </c>
    </row>
    <row r="3" ht="46.5" customHeight="1">
      <c r="A3" s="143" t="str">
        <f t="shared" si="1"/>
        <v>#REF!</v>
      </c>
      <c r="B3" s="144" t="s">
        <v>80</v>
      </c>
      <c r="C3" s="145" t="s">
        <v>81</v>
      </c>
      <c r="D3" s="151"/>
      <c r="E3" s="146" t="s">
        <v>48</v>
      </c>
      <c r="F3" s="152"/>
      <c r="G3" s="148" t="s">
        <v>82</v>
      </c>
      <c r="I3" s="149" t="s">
        <v>35</v>
      </c>
      <c r="J3" s="150" t="s">
        <v>83</v>
      </c>
      <c r="K3" s="150">
        <v>2.0</v>
      </c>
      <c r="M3" s="153">
        <f t="shared" ref="M3:M13" si="2">M2+5</f>
        <v>10</v>
      </c>
    </row>
    <row r="4" ht="46.5" customHeight="1">
      <c r="A4" s="143" t="str">
        <f t="shared" si="1"/>
        <v>#REF!</v>
      </c>
      <c r="B4" s="144" t="s">
        <v>37</v>
      </c>
      <c r="C4" s="145" t="s">
        <v>84</v>
      </c>
      <c r="D4" s="154"/>
      <c r="E4" s="146" t="s">
        <v>85</v>
      </c>
      <c r="F4" s="155"/>
      <c r="G4" s="148" t="s">
        <v>86</v>
      </c>
      <c r="I4" s="149" t="s">
        <v>87</v>
      </c>
      <c r="J4" s="150" t="s">
        <v>88</v>
      </c>
      <c r="K4" s="150">
        <v>1.0</v>
      </c>
      <c r="M4" s="153">
        <f t="shared" si="2"/>
        <v>15</v>
      </c>
    </row>
    <row r="5" ht="46.5" customHeight="1">
      <c r="A5" s="143" t="str">
        <f t="shared" si="1"/>
        <v>#REF!</v>
      </c>
      <c r="B5" s="144" t="s">
        <v>89</v>
      </c>
      <c r="C5" s="145" t="s">
        <v>90</v>
      </c>
      <c r="D5" s="141"/>
      <c r="E5" s="146" t="s">
        <v>91</v>
      </c>
      <c r="F5" s="156"/>
      <c r="G5" s="148" t="s">
        <v>92</v>
      </c>
      <c r="I5" s="149" t="s">
        <v>93</v>
      </c>
      <c r="J5" s="150" t="s">
        <v>94</v>
      </c>
      <c r="K5" s="150">
        <v>0.0</v>
      </c>
      <c r="M5" s="153">
        <f t="shared" si="2"/>
        <v>20</v>
      </c>
    </row>
    <row r="6" ht="46.5" customHeight="1">
      <c r="A6" s="143" t="str">
        <f t="shared" si="1"/>
        <v>#REF!</v>
      </c>
      <c r="B6" s="144" t="s">
        <v>95</v>
      </c>
      <c r="C6" s="145" t="s">
        <v>96</v>
      </c>
      <c r="D6" s="141"/>
      <c r="E6" s="141"/>
      <c r="F6" s="141"/>
      <c r="M6" s="153">
        <f t="shared" si="2"/>
        <v>25</v>
      </c>
    </row>
    <row r="7" ht="46.5" customHeight="1">
      <c r="A7" s="143" t="str">
        <f t="shared" si="1"/>
        <v>#REF!</v>
      </c>
      <c r="B7" s="144" t="s">
        <v>97</v>
      </c>
      <c r="C7" s="145" t="s">
        <v>98</v>
      </c>
      <c r="D7" s="141"/>
      <c r="E7" s="141"/>
      <c r="F7" s="141"/>
      <c r="M7" s="153">
        <f t="shared" si="2"/>
        <v>30</v>
      </c>
    </row>
    <row r="8" ht="46.5" customHeight="1">
      <c r="A8" s="143" t="str">
        <f t="shared" si="1"/>
        <v>#REF!</v>
      </c>
      <c r="B8" s="144" t="s">
        <v>99</v>
      </c>
      <c r="C8" s="145" t="s">
        <v>100</v>
      </c>
      <c r="D8" s="141"/>
      <c r="E8" s="141"/>
      <c r="F8" s="141"/>
      <c r="M8" s="153">
        <f t="shared" si="2"/>
        <v>35</v>
      </c>
    </row>
    <row r="9" ht="46.5" customHeight="1">
      <c r="A9" s="143" t="str">
        <f t="shared" si="1"/>
        <v>#REF!</v>
      </c>
      <c r="B9" s="144" t="s">
        <v>101</v>
      </c>
      <c r="C9" s="145" t="s">
        <v>102</v>
      </c>
      <c r="D9" s="141"/>
      <c r="E9" s="141"/>
      <c r="F9" s="141"/>
      <c r="M9" s="153">
        <f t="shared" si="2"/>
        <v>40</v>
      </c>
    </row>
    <row r="10" ht="39.0" customHeight="1">
      <c r="A10" s="143"/>
      <c r="B10" s="144"/>
      <c r="C10" s="157"/>
      <c r="D10" s="141"/>
      <c r="E10" s="141"/>
      <c r="F10" s="141"/>
      <c r="M10" s="153">
        <f t="shared" si="2"/>
        <v>45</v>
      </c>
    </row>
    <row r="11" ht="39.0" customHeight="1">
      <c r="A11" s="143"/>
      <c r="B11" s="144"/>
      <c r="C11" s="157"/>
      <c r="D11" s="141"/>
      <c r="E11" s="141"/>
      <c r="F11" s="141"/>
      <c r="M11" s="153">
        <f t="shared" si="2"/>
        <v>50</v>
      </c>
    </row>
    <row r="12" ht="39.0" customHeight="1">
      <c r="A12" s="143"/>
      <c r="B12" s="144"/>
      <c r="C12" s="157"/>
      <c r="D12" s="141"/>
      <c r="E12" s="141"/>
      <c r="F12" s="141"/>
      <c r="M12" s="153">
        <f t="shared" si="2"/>
        <v>55</v>
      </c>
    </row>
    <row r="13" ht="39.0" customHeight="1">
      <c r="A13" s="143"/>
      <c r="B13" s="144"/>
      <c r="C13" s="157"/>
      <c r="D13" s="141"/>
      <c r="E13" s="141"/>
      <c r="F13" s="141"/>
      <c r="M13" s="153">
        <f t="shared" si="2"/>
        <v>60</v>
      </c>
    </row>
    <row r="14" ht="39.0" customHeight="1">
      <c r="A14" s="143"/>
      <c r="B14" s="144"/>
      <c r="C14" s="157"/>
      <c r="D14" s="141"/>
      <c r="E14" s="141"/>
      <c r="F14" s="141"/>
      <c r="M14" s="153"/>
    </row>
  </sheetData>
  <conditionalFormatting sqref="F3">
    <cfRule type="notContainsBlanks" dxfId="10" priority="1">
      <formula>LEN(TRIM(F3))&gt;0</formula>
    </cfRule>
  </conditionalFormatting>
  <dataValidations>
    <dataValidation type="list" allowBlank="1" sqref="I2:I5">
      <formula1>"Student - Content,Student - Student,Teacher - Student,Student - Community"</formula1>
    </dataValidation>
    <dataValidation type="list" allowBlank="1" sqref="E2:E5">
      <formula1>"Activate learning,Promote thinking and discussion,Facilitate demonstration of learning,Monitor and provide feedback"</formula1>
    </dataValidation>
    <dataValidation type="list" allowBlank="1" showErrorMessage="1" sqref="B2:B14">
      <formula1>"Support Assessment for Learning,Foster Conceptual Change,Provide Differentiation,Facilitate Learning Together,Develop Metacognition,Enable Personalisation,Embed Scaffolding,Increase Motivation"</formula1>
    </dataValidation>
  </dataValidations>
  <hyperlinks>
    <hyperlink r:id="rId1" ref="C2"/>
    <hyperlink r:id="rId2" ref="C3"/>
    <hyperlink r:id="rId3" ref="C4"/>
    <hyperlink r:id="rId4" ref="C5"/>
    <hyperlink r:id="rId5" ref="C6"/>
    <hyperlink r:id="rId6" ref="C7"/>
    <hyperlink r:id="rId7" ref="C8"/>
    <hyperlink r:id="rId8" ref="C9"/>
  </hyperlinks>
  <drawing r:id="rId9"/>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1.13"/>
    <col customWidth="1" min="10" max="10" width="2.0"/>
    <col customWidth="1" min="12" max="12" width="2.0"/>
  </cols>
  <sheetData>
    <row r="1">
      <c r="A1" s="139" t="s">
        <v>68</v>
      </c>
      <c r="B1" s="139" t="s">
        <v>103</v>
      </c>
      <c r="C1" s="139" t="s">
        <v>69</v>
      </c>
      <c r="E1" s="139" t="s">
        <v>27</v>
      </c>
      <c r="F1" s="139" t="s">
        <v>71</v>
      </c>
      <c r="G1" s="139" t="s">
        <v>72</v>
      </c>
      <c r="I1" s="158" t="s">
        <v>104</v>
      </c>
      <c r="J1" s="159"/>
      <c r="K1" s="160" t="s">
        <v>105</v>
      </c>
      <c r="L1" s="161"/>
      <c r="M1" s="160" t="s">
        <v>106</v>
      </c>
    </row>
    <row r="2">
      <c r="A2" s="146" t="s">
        <v>76</v>
      </c>
      <c r="B2" s="162">
        <f>sumifs(INPUT!$E$29:$E$43,INPUT!$C$29:$C$43,A2)</f>
        <v>0</v>
      </c>
      <c r="C2" s="147"/>
      <c r="E2" s="149" t="s">
        <v>78</v>
      </c>
      <c r="F2" s="150" t="s">
        <v>79</v>
      </c>
      <c r="G2" s="163">
        <f>sumifs(INPUT!$E$29:$E$43,INPUT!$B$29:$B$43,E2)</f>
        <v>0</v>
      </c>
      <c r="I2" s="164" t="s">
        <v>107</v>
      </c>
      <c r="K2" s="165">
        <f>sumifs(Output!$53:$53,Output!$56:$56,textjoin("-",1,K$1,$I2))</f>
        <v>0</v>
      </c>
      <c r="L2" s="153"/>
      <c r="M2" s="165">
        <f>sumifs(Output!$53:$53,Output!$56:$56,textjoin("-",1,M$1,$I2))</f>
        <v>0</v>
      </c>
    </row>
    <row r="3">
      <c r="A3" s="146" t="s">
        <v>48</v>
      </c>
      <c r="B3" s="162">
        <f>sumifs(INPUT!$E$29:$E$43,INPUT!$C$29:$C$43,A3)</f>
        <v>0</v>
      </c>
      <c r="C3" s="152"/>
      <c r="E3" s="149" t="s">
        <v>35</v>
      </c>
      <c r="F3" s="150" t="s">
        <v>83</v>
      </c>
      <c r="G3" s="163">
        <f>sumifs(INPUT!$E$29:$E$43,INPUT!$B$29:$B$43,E3)</f>
        <v>25</v>
      </c>
      <c r="I3" s="166" t="s">
        <v>108</v>
      </c>
      <c r="J3" s="167"/>
      <c r="K3" s="168">
        <f>sumifs(Output!$53:$53,Output!$56:$56,textjoin("-",1,K$1,$I3))</f>
        <v>0</v>
      </c>
      <c r="L3" s="169"/>
      <c r="M3" s="168">
        <f>sumifs(Output!$53:$53,Output!$56:$56,textjoin("-",1,M$1,$I3))</f>
        <v>0</v>
      </c>
    </row>
    <row r="4">
      <c r="A4" s="146" t="s">
        <v>85</v>
      </c>
      <c r="B4" s="162">
        <f>sumifs(INPUT!$E$29:$E$43,INPUT!$C$29:$C$43,A4)</f>
        <v>0</v>
      </c>
      <c r="C4" s="155"/>
      <c r="E4" s="149" t="s">
        <v>87</v>
      </c>
      <c r="F4" s="150" t="s">
        <v>88</v>
      </c>
      <c r="G4" s="163">
        <f>sumifs(INPUT!$E$29:$E$43,INPUT!$B$29:$B$43,E4)</f>
        <v>0</v>
      </c>
    </row>
    <row r="5">
      <c r="A5" s="146" t="s">
        <v>91</v>
      </c>
      <c r="B5" s="162">
        <f>sumifs(INPUT!$E$29:$E$43,INPUT!$C$29:$C$43,A5)</f>
        <v>0</v>
      </c>
      <c r="C5" s="156"/>
      <c r="E5" s="149" t="s">
        <v>93</v>
      </c>
      <c r="F5" s="150" t="s">
        <v>94</v>
      </c>
      <c r="G5" s="163">
        <f>sumifs(INPUT!$E$29:$E$43,INPUT!$B$29:$B$43,E5)</f>
        <v>0</v>
      </c>
    </row>
    <row r="8">
      <c r="A8" s="170" t="s">
        <v>109</v>
      </c>
    </row>
  </sheetData>
  <conditionalFormatting sqref="I1:M3">
    <cfRule type="expression" dxfId="3" priority="1">
      <formula>AND(#REF!&lt;&gt;"E",#REF!="00")</formula>
    </cfRule>
  </conditionalFormatting>
  <conditionalFormatting sqref="I1:M3">
    <cfRule type="expression" dxfId="3" priority="2">
      <formula>AND(#REF!&lt;&gt;"E",#REF!="00")</formula>
    </cfRule>
  </conditionalFormatting>
  <conditionalFormatting sqref="I1:I2 J1:M1">
    <cfRule type="containsText" dxfId="4" priority="3" operator="containsText" text="Optional">
      <formula>NOT(ISERROR(SEARCH(("Optional"),(I1))))</formula>
    </cfRule>
  </conditionalFormatting>
  <conditionalFormatting sqref="I1">
    <cfRule type="expression" dxfId="3" priority="4">
      <formula>AND(#REF!&lt;&gt;"E",#REF!="00")</formula>
    </cfRule>
  </conditionalFormatting>
  <conditionalFormatting sqref="C3">
    <cfRule type="notContainsBlanks" dxfId="10" priority="5">
      <formula>LEN(TRIM(C3))&gt;0</formula>
    </cfRule>
  </conditionalFormatting>
  <dataValidations>
    <dataValidation type="list" allowBlank="1" sqref="E2:E5">
      <formula1>"Student - Content,Student - Student,Teacher - Student,Student - Community"</formula1>
    </dataValidation>
    <dataValidation type="list" allowBlank="1" sqref="A2:A5">
      <formula1>"Activate learning,Promote thinking and discussion,Facilitate demonstration of learning,Monitor and provide feedback"</formula1>
    </dataValidation>
  </dataValidations>
  <drawing r:id="rId1"/>
</worksheet>
</file>